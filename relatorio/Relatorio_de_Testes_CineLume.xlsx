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no\Documents\cinelume-qa\relatorio\"/>
    </mc:Choice>
  </mc:AlternateContent>
  <xr:revisionPtr revIDLastSave="0" documentId="13_ncr:1_{49BC2F3A-39A8-4738-90C4-ADB9C61685F4}" xr6:coauthVersionLast="47" xr6:coauthVersionMax="47" xr10:uidLastSave="{00000000-0000-0000-0000-000000000000}"/>
  <bookViews>
    <workbookView xWindow="24" yWindow="24" windowWidth="11784" windowHeight="12216" tabRatio="500" firstSheet="11" activeTab="12" xr2:uid="{00000000-000D-0000-FFFF-FFFF00000000}"/>
  </bookViews>
  <sheets>
    <sheet name="0_Instrucoes" sheetId="1" r:id="rId1"/>
    <sheet name="1_Identificacao" sheetId="2" r:id="rId2"/>
    <sheet name="2_Smoke_Test" sheetId="3" r:id="rId3"/>
    <sheet name="3_Revisao_Estatica" sheetId="4" r:id="rId4"/>
    <sheet name="4_Plano_de_Testes" sheetId="5" r:id="rId5"/>
    <sheet name="5_Casos_de_Teste" sheetId="6" r:id="rId6"/>
    <sheet name="6_Bugs" sheetId="7" r:id="rId7"/>
    <sheet name="7_Nao_Funcionais" sheetId="8" r:id="rId8"/>
    <sheet name="8_Caixa_Branca" sheetId="9" r:id="rId9"/>
    <sheet name="9_Automacao" sheetId="10" r:id="rId10"/>
    <sheet name="10_Correcao" sheetId="11" r:id="rId11"/>
    <sheet name="11_Relatorio_Final" sheetId="12" r:id="rId12"/>
    <sheet name="12_Uso_de_IA" sheetId="13" r:id="rId13"/>
    <sheet name="Listas" sheetId="14" state="hidden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2" l="1"/>
  <c r="B22" i="12"/>
  <c r="B21" i="12"/>
  <c r="B20" i="12"/>
  <c r="B19" i="12"/>
  <c r="B18" i="12"/>
  <c r="B17" i="12"/>
  <c r="B16" i="12"/>
  <c r="B15" i="12"/>
  <c r="B14" i="12"/>
  <c r="B13" i="12"/>
  <c r="B12" i="12"/>
  <c r="B11" i="12"/>
  <c r="B9" i="12"/>
  <c r="B8" i="12"/>
  <c r="B7" i="12"/>
  <c r="B6" i="12"/>
  <c r="B5" i="12"/>
  <c r="B10" i="12" l="1"/>
</calcChain>
</file>

<file path=xl/sharedStrings.xml><?xml version="1.0" encoding="utf-8"?>
<sst xmlns="http://schemas.openxmlformats.org/spreadsheetml/2006/main" count="1145" uniqueCount="794">
  <si>
    <t>Relatório de Testes — CineLume v1.0</t>
  </si>
  <si>
    <t>Leia antes de começar.</t>
  </si>
  <si>
    <t>Como preencher</t>
  </si>
  <si>
    <t>1</t>
  </si>
  <si>
    <t>Preencha apenas as células amarelas. As células azuis trazem IDs fixos: não altere.</t>
  </si>
  <si>
    <t>2</t>
  </si>
  <si>
    <t>Não renomeie, apague, mova ou reordene abas, linhas de cabeçalho ou colunas.</t>
  </si>
  <si>
    <t>3</t>
  </si>
  <si>
    <t>Use as listas suspensas sempre que a célula tiver uma (RN, técnica, tipo, status, severidade).</t>
  </si>
  <si>
    <t>4</t>
  </si>
  <si>
    <t>A linha cinza de cada aba é um EXEMPLO. Deixe-a como está e comece na linha seguinte.</t>
  </si>
  <si>
    <t>5</t>
  </si>
  <si>
    <t>Todo caso de teste, bug e teste não-funcional cita a regra de negócio (RN) do REQUISITOS.md.</t>
  </si>
  <si>
    <t>6</t>
  </si>
  <si>
    <t>Relacione as abas pelos IDs: um caso que falhou aponta para o BUG; o bug aponta para o caso.</t>
  </si>
  <si>
    <t>7</t>
  </si>
  <si>
    <t>Prints vão em relatorio/evidencias/ com o nome do ID (ex.: BUG-03.png). Na coluna Evidência, escreva o nome do arquivo.</t>
  </si>
  <si>
    <t>8</t>
  </si>
  <si>
    <t>Renomeie este arquivo para Relatorio_de_Testes_CineLume_SeuNome.xlsx antes do primeiro commit.</t>
  </si>
  <si>
    <t>Abas e missões</t>
  </si>
  <si>
    <t>1_Identificacao</t>
  </si>
  <si>
    <t>Antes de começar</t>
  </si>
  <si>
    <t>2_Smoke_Test e 3_Revisao_Estatica</t>
  </si>
  <si>
    <t>Missão 1 — Reconhecimento</t>
  </si>
  <si>
    <t>4_Plano_de_Testes e 5_Casos_de_Teste</t>
  </si>
  <si>
    <t>Missão 2 — Planejamento (no mínimo 15 casos)</t>
  </si>
  <si>
    <t>5_Casos_de_Teste e 6_Bugs</t>
  </si>
  <si>
    <t>Missão 3 — Execução e registro de bugs (no mínimo 6 bugs)</t>
  </si>
  <si>
    <t>7_Nao_Funcionais</t>
  </si>
  <si>
    <t>Missão 4 — Testes não-funcionais (no mínimo 5)</t>
  </si>
  <si>
    <t>8_Caixa_Branca e 9_Automacao</t>
  </si>
  <si>
    <t>Missão 5 — Caixa branca e testes automáticos (no mínimo 8)</t>
  </si>
  <si>
    <t>10_Correcao</t>
  </si>
  <si>
    <t>Missão 6 — Correção, confirmação e regressão</t>
  </si>
  <si>
    <t>11_Relatorio_Final</t>
  </si>
  <si>
    <t>Missão 7 — Números (automáticos) e recomendação</t>
  </si>
  <si>
    <t>12_Uso_de_IA</t>
  </si>
  <si>
    <t>Sempre que usar IA</t>
  </si>
  <si>
    <t>Severidade</t>
  </si>
  <si>
    <t>Crítica</t>
  </si>
  <si>
    <t>Causa prejuízo financeiro, expõe dados ou impede a compra.</t>
  </si>
  <si>
    <t>Alta</t>
  </si>
  <si>
    <t>Cobra valor errado ou quebra uma regra de negócio importante, sem impedir a compra.</t>
  </si>
  <si>
    <t>Média</t>
  </si>
  <si>
    <t>Quebra uma regra secundária ou um limite, com contorno possível.</t>
  </si>
  <si>
    <t>Baixa</t>
  </si>
  <si>
    <t>Problema visual ou de formatação, sem efeito no valor cobrado.</t>
  </si>
  <si>
    <t>1. Identificação</t>
  </si>
  <si>
    <t>Preencha antes de começar a Missão 1.</t>
  </si>
  <si>
    <t>Nome completo</t>
  </si>
  <si>
    <t>Usuário do GitHub</t>
  </si>
  <si>
    <t>Link do repositório</t>
  </si>
  <si>
    <t>Ex.: https://github.com/usuario/cinelume-qa-nome-sobrenome</t>
  </si>
  <si>
    <t>Data</t>
  </si>
  <si>
    <t>dd/mm/aaaa</t>
  </si>
  <si>
    <t>Navegador e versão</t>
  </si>
  <si>
    <t>Ex.: Chrome 130</t>
  </si>
  <si>
    <t>Sistema operacional</t>
  </si>
  <si>
    <t>Ex.: Windows 11</t>
  </si>
  <si>
    <t>Hora de início</t>
  </si>
  <si>
    <t>hh:mm</t>
  </si>
  <si>
    <t>Hora de término</t>
  </si>
  <si>
    <t>2. Smoke test (Missão 1)</t>
  </si>
  <si>
    <t>Verificações rápidas: o sistema está estável o bastante para ser testado a fundo?</t>
  </si>
  <si>
    <t>ID</t>
  </si>
  <si>
    <t>Verificação</t>
  </si>
  <si>
    <t>Resultado</t>
  </si>
  <si>
    <t>Observação</t>
  </si>
  <si>
    <t>SMK-01</t>
  </si>
  <si>
    <t>A página abre sem erros no Console (F12)</t>
  </si>
  <si>
    <t>SMK-02</t>
  </si>
  <si>
    <t>Os 4 filmes aparecem, cada um com suas sessões</t>
  </si>
  <si>
    <t>SMK-03</t>
  </si>
  <si>
    <t>Ao escolher uma sessão, o mapa de assentos aparece</t>
  </si>
  <si>
    <t>SMK-04</t>
  </si>
  <si>
    <t>É possível escolher um assento e o resumo mostra um valor</t>
  </si>
  <si>
    <t>SMK-05</t>
  </si>
  <si>
    <t>É possível adicionar um item da bomboniere</t>
  </si>
  <si>
    <t>SMK-06</t>
  </si>
  <si>
    <t>O botão Aplicar do cupom responde</t>
  </si>
  <si>
    <t>SMK-07</t>
  </si>
  <si>
    <t>As formas de pagamento podem ser selecionadas</t>
  </si>
  <si>
    <t>SMK-08</t>
  </si>
  <si>
    <t>Com dados válidos, a compra chega à tela de confirmação</t>
  </si>
  <si>
    <t>Veredito</t>
  </si>
  <si>
    <t>Justificativa</t>
  </si>
  <si>
    <t>3. Revisão estática dos requisitos (Missão 1)</t>
  </si>
  <si>
    <t>Leia o REQUISITOS.md sem executar o sistema. Registre ambiguidades, lacunas, contradições ou regras que não dá para testar. Mínimo: 2.</t>
  </si>
  <si>
    <t>RN</t>
  </si>
  <si>
    <t>Trecho do requisito</t>
  </si>
  <si>
    <t>Tipo do problema</t>
  </si>
  <si>
    <t>Problema encontrado</t>
  </si>
  <si>
    <t>Pergunta ou sugestão ao cliente</t>
  </si>
  <si>
    <t>RE-00</t>
  </si>
  <si>
    <t>RN13</t>
  </si>
  <si>
    <t>"Celular (opcional)"</t>
  </si>
  <si>
    <t>Lacuna</t>
  </si>
  <si>
    <t>O requisito não diz qual formato o celular deve ter, nem se é validado quando preenchido.</t>
  </si>
  <si>
    <t>O celular deve ser validado quando informado? Qual formato?</t>
  </si>
  <si>
    <t>RE-01</t>
  </si>
  <si>
    <t>RE-02</t>
  </si>
  <si>
    <t>RE-03</t>
  </si>
  <si>
    <t>RE-04</t>
  </si>
  <si>
    <t>RE-05</t>
  </si>
  <si>
    <t>RE-06</t>
  </si>
  <si>
    <t>RE-07</t>
  </si>
  <si>
    <t>RE-08</t>
  </si>
  <si>
    <t>RE-09</t>
  </si>
  <si>
    <t>RE-10</t>
  </si>
  <si>
    <t>4. Plano de testes (Missão 2)</t>
  </si>
  <si>
    <t>Planeje antes de executar. Seja específico: o que será testado, como e quando o sistema está pronto.</t>
  </si>
  <si>
    <t>Objetivo do teste</t>
  </si>
  <si>
    <t>Itens que serão testados (escopo)</t>
  </si>
  <si>
    <t>Funcionalidades e regras</t>
  </si>
  <si>
    <t>Itens fora do escopo</t>
  </si>
  <si>
    <t>Estratégia</t>
  </si>
  <si>
    <t>Escolha na lista e justifique na linha seguinte</t>
  </si>
  <si>
    <t>Justificativa da estratégia</t>
  </si>
  <si>
    <t>Níveis de teste que serão usados</t>
  </si>
  <si>
    <t>Unitário, integração, sistema, aceitação</t>
  </si>
  <si>
    <t>Técnicas de modelagem que serão usadas</t>
  </si>
  <si>
    <t>Ex.: partição de equivalência, valor limite</t>
  </si>
  <si>
    <t>Ambiente de teste</t>
  </si>
  <si>
    <t>Navegador, sistema, ferramentas (DevTools, Lighthouse, VS Code)</t>
  </si>
  <si>
    <t>Critério de entrada</t>
  </si>
  <si>
    <t>Quando o teste pode começar?</t>
  </si>
  <si>
    <t>Critério de saída</t>
  </si>
  <si>
    <t>Quando o sistema pode ser lançado? Use a seção 6 do REQUISITOS.md</t>
  </si>
  <si>
    <t>Riscos do teste</t>
  </si>
  <si>
    <t>O que pode atrapalhar ou o que pode ficar de fora</t>
  </si>
  <si>
    <t>Tipos de teste previstos</t>
  </si>
  <si>
    <t>Tipo de teste</t>
  </si>
  <si>
    <t>Será executado?</t>
  </si>
  <si>
    <t>Justificativa ou RN relacionada</t>
  </si>
  <si>
    <t>Funcional</t>
  </si>
  <si>
    <t>Regressão</t>
  </si>
  <si>
    <t>Confirmação</t>
  </si>
  <si>
    <t>Exploratório</t>
  </si>
  <si>
    <t>Desempenho</t>
  </si>
  <si>
    <t>Carga</t>
  </si>
  <si>
    <t>Estresse</t>
  </si>
  <si>
    <t>Volume</t>
  </si>
  <si>
    <t>Segurança</t>
  </si>
  <si>
    <t>Recuperação</t>
  </si>
  <si>
    <t>Acessibilidade</t>
  </si>
  <si>
    <t>Aceitação</t>
  </si>
  <si>
    <t>5. Casos de teste (Missões 2 e 3)</t>
  </si>
  <si>
    <t>M2: preencha as colunas B a K (projeto do caso). M3: execute e preencha L a O. Mínimo: 15 casos, pelo menos 5 de valor limite.</t>
  </si>
  <si>
    <t>CA</t>
  </si>
  <si>
    <t>Técnica</t>
  </si>
  <si>
    <t>Nível</t>
  </si>
  <si>
    <t>Título</t>
  </si>
  <si>
    <t>Pré-condições</t>
  </si>
  <si>
    <t>Passos</t>
  </si>
  <si>
    <t>Dados de entrada</t>
  </si>
  <si>
    <t>Resultado esperado</t>
  </si>
  <si>
    <t>Resultado obtido</t>
  </si>
  <si>
    <t>Status</t>
  </si>
  <si>
    <t>Bug relacionado</t>
  </si>
  <si>
    <t>Evidência</t>
  </si>
  <si>
    <t>CT-00</t>
  </si>
  <si>
    <t>CA13.3</t>
  </si>
  <si>
    <t>Partição de equivalência</t>
  </si>
  <si>
    <t>Sistema</t>
  </si>
  <si>
    <t>E-mail sem @ é recusado</t>
  </si>
  <si>
    <t>Sessão e 1 assento escolhidos; nome e CPF válidos</t>
  </si>
  <si>
    <t>1. Digitar o e-mail
2. Escolher Pix
3. Clicar em Confirmar compra</t>
  </si>
  <si>
    <t>E-mail: ana.exemplo.com</t>
  </si>
  <si>
    <t>Compra não confirmada; mensagem "Informe um e-mail válido."</t>
  </si>
  <si>
    <t>Mensagem exibida; compra não confirmada</t>
  </si>
  <si>
    <t>Passou</t>
  </si>
  <si>
    <t>CT-01</t>
  </si>
  <si>
    <t>CT-02</t>
  </si>
  <si>
    <t>CT-03</t>
  </si>
  <si>
    <t>CT-04</t>
  </si>
  <si>
    <t>CT-05</t>
  </si>
  <si>
    <t>CT-06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</si>
  <si>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</si>
  <si>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</si>
  <si>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</si>
  <si>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</si>
  <si>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</si>
  <si>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</si>
  <si>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</si>
  <si>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</si>
  <si>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</si>
  <si>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</si>
  <si>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</si>
  <si>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</si>
  <si>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</si>
  <si>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</si>
  <si>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</si>
  <si>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</si>
  <si>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</si>
  <si>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</si>
  <si>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</si>
  <si>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</si>
  <si>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</si>
  <si>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</si>
  <si>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</si>
  <si>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</si>
  <si>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</si>
  <si>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</si>
  <si>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CT-33</t>
  </si>
  <si>
    <t>CT-34</t>
  </si>
  <si>
    <t>CT-35</t>
  </si>
  <si>
    <t>CT-36</t>
  </si>
  <si>
    <t>CT-37</t>
  </si>
  <si>
    <t>CT-38</t>
  </si>
  <si>
    <t>CT-39</t>
  </si>
  <si>
    <t>CT-40</t>
  </si>
  <si>
    <t>6. Relatórios de bug (Missão 3 em diante)</t>
  </si>
  <si>
    <t>Um bug por linha. Passos precisam permitir que outra pessoa reproduza. Mínimo: 6 bugs, cada um com evidência.</t>
  </si>
  <si>
    <t>RN violada</t>
  </si>
  <si>
    <t>Caso de teste</t>
  </si>
  <si>
    <t>Prioridade</t>
  </si>
  <si>
    <t>Passos para reproduzir</t>
  </si>
  <si>
    <t>Dados usados</t>
  </si>
  <si>
    <t>Status do bug</t>
  </si>
  <si>
    <t>Missão</t>
  </si>
  <si>
    <t>BUG-00</t>
  </si>
  <si>
    <t>EXEMPLO FICTÍCIO: cupom inexistente não mostra mensagem</t>
  </si>
  <si>
    <t>RN10</t>
  </si>
  <si>
    <t>CA10.4</t>
  </si>
  <si>
    <t>1. Escolher uma sessão e 1 assento
2. Digitar XYZ no campo de cupom
3. Clicar em Aplicar</t>
  </si>
  <si>
    <t>Cupom: XYZ</t>
  </si>
  <si>
    <t>Mensagem "Cupom inválido."</t>
  </si>
  <si>
    <t>Nenhuma mensagem aparece</t>
  </si>
  <si>
    <t>BUG-00.png</t>
  </si>
  <si>
    <t>Aberto</t>
  </si>
  <si>
    <t>M3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</si>
  <si>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</si>
  <si>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</si>
  <si>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</si>
  <si>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</si>
  <si>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</si>
  <si>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</si>
  <si>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</si>
  <si>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</si>
  <si>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</si>
  <si>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</si>
  <si>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</si>
  <si>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</si>
  <si>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</si>
  <si>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</si>
  <si>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</si>
  <si>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</si>
  <si>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</si>
  <si>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</si>
  <si>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</si>
  <si>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</si>
  <si>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</si>
  <si>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</si>
  <si>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</si>
  <si>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</si>
  <si>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</si>
  <si>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</si>
  <si>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BUG-27</t>
  </si>
  <si>
    <t>BUG-28</t>
  </si>
  <si>
    <t>BUG-29</t>
  </si>
  <si>
    <t>BUG-30</t>
  </si>
  <si>
    <t>7. Testes não-funcionais (Missão 4)</t>
  </si>
  <si>
    <t>Cada teste tem uma medida (número, contagem ou observação objetiva) e um critério. Mínimo: 5 testes, de tipos diferentes, com evidência.</t>
  </si>
  <si>
    <t>O que foi medido</t>
  </si>
  <si>
    <t>Como testou (ferramenta e passos)</t>
  </si>
  <si>
    <t>Valor obtido</t>
  </si>
  <si>
    <t>Critério de aceitação</t>
  </si>
  <si>
    <t>NF-00</t>
  </si>
  <si>
    <t>RN17</t>
  </si>
  <si>
    <t>Tempo para calcular 1.000 pedidos</t>
  </si>
  <si>
    <t>Console: console.time + laço com atualizarResumo() 1.000 vezes</t>
  </si>
  <si>
    <t>42 ms</t>
  </si>
  <si>
    <t>Até 1.000 ms</t>
  </si>
  <si>
    <t>NF-00.png</t>
  </si>
  <si>
    <t>NF-01</t>
  </si>
  <si>
    <t>NF-02</t>
  </si>
  <si>
    <t>NF-03</t>
  </si>
  <si>
    <t>NF-04</t>
  </si>
  <si>
    <t>NF-05</t>
  </si>
  <si>
    <t>NF-06</t>
  </si>
  <si>
    <t>NF-07</t>
  </si>
  <si>
    <t>NF-08</t>
  </si>
  <si>
    <t>NF-09</t>
  </si>
  <si>
    <t>NF-10</t>
  </si>
  <si>
    <t>NF-11</t>
  </si>
  <si>
    <t>NF-12</t>
  </si>
  <si>
    <t>NF-13</t>
  </si>
  <si>
    <t>NF-14</t>
  </si>
  <si>
    <t>NF-15</t>
  </si>
  <si>
    <t>8. Teste de caixa branca (Missão 5)</t>
  </si>
  <si>
    <t>Leia js/regras.js. Para cada condição (if) das funções escolhidas, registre uma entrada que passe por aquele caminho e compare com a RN.</t>
  </si>
  <si>
    <t>Função</t>
  </si>
  <si>
    <t>Condição ou trecho analisado</t>
  </si>
  <si>
    <t>Caminho coberto</t>
  </si>
  <si>
    <t>Entrada usada</t>
  </si>
  <si>
    <t>Resultado esperado (pela RN)</t>
  </si>
  <si>
    <t>CB-00</t>
  </si>
  <si>
    <t>validarNome</t>
  </si>
  <si>
    <t>nome.trim().length &gt;= 3</t>
  </si>
  <si>
    <t>Condição falsa</t>
  </si>
  <si>
    <t>validarNome("Al")</t>
  </si>
  <si>
    <t>false (RN13: mínimo de 3 caracteres)</t>
  </si>
  <si>
    <t>false</t>
  </si>
  <si>
    <t>CB-01</t>
  </si>
  <si>
    <t>CB-02</t>
  </si>
  <si>
    <t>CB-03</t>
  </si>
  <si>
    <t>CB-04</t>
  </si>
  <si>
    <t>CB-05</t>
  </si>
  <si>
    <t>CB-06</t>
  </si>
  <si>
    <t>CB-07</t>
  </si>
  <si>
    <t>CB-08</t>
  </si>
  <si>
    <t>CB-09</t>
  </si>
  <si>
    <t>CB-10</t>
  </si>
  <si>
    <t>CB-11</t>
  </si>
  <si>
    <t>CB-12</t>
  </si>
  <si>
    <t>CB-13</t>
  </si>
  <si>
    <t>CB-14</t>
  </si>
  <si>
    <t>CB-15</t>
  </si>
  <si>
    <t>CB-16</t>
  </si>
  <si>
    <t>CB-17</t>
  </si>
  <si>
    <t>CB-18</t>
  </si>
  <si>
    <t>CB-19</t>
  </si>
  <si>
    <t>CB-20</t>
  </si>
  <si>
    <t>9. Testes automáticos (Missão 5)</t>
  </si>
  <si>
    <t>Cada linha corresponde a um testar(...) em testes/testes.html, com o mesmo ID. Mínimo: 8 testes.</t>
  </si>
  <si>
    <t>Função testada</t>
  </si>
  <si>
    <t>O que o teste verifica</t>
  </si>
  <si>
    <t>Chamada usada no testes.html</t>
  </si>
  <si>
    <t>Esperado</t>
  </si>
  <si>
    <t>Obtido</t>
  </si>
  <si>
    <t>Resultado no testes.html</t>
  </si>
  <si>
    <t>AT-EX1</t>
  </si>
  <si>
    <t>validarEmail</t>
  </si>
  <si>
    <t>E-mail com @ e domínio é aceito</t>
  </si>
  <si>
    <t>testar('AT-EX1', '...', validarEmail('ana@exemplo.com'), true);</t>
  </si>
  <si>
    <t>true</t>
  </si>
  <si>
    <t>AT01</t>
  </si>
  <si>
    <t>AT02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</si>
  <si>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</si>
  <si>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</si>
  <si>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</si>
  <si>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</si>
  <si>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</si>
  <si>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</si>
  <si>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</si>
  <si>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</si>
  <si>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</si>
  <si>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</si>
  <si>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</si>
  <si>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</si>
  <si>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</si>
  <si>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</si>
  <si>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</si>
  <si>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</si>
  <si>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</si>
  <si>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</si>
  <si>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10. Correção, confirmação e regressão (Missão 6)</t>
  </si>
  <si>
    <t>Corrija pelo menos 1 bug. Depois confirme que ele sumiu e rode os testes automáticos de novo para ver se nada quebrou.</t>
  </si>
  <si>
    <t>Bug corrigido</t>
  </si>
  <si>
    <t>Arquivo</t>
  </si>
  <si>
    <t>Causa do defeito</t>
  </si>
  <si>
    <t>O que foi alterado</t>
  </si>
  <si>
    <t>Teste de confirmação (ID)</t>
  </si>
  <si>
    <t>Resultado da confirmação</t>
  </si>
  <si>
    <t>Regressão: testes passando antes</t>
  </si>
  <si>
    <t>Regressão: testes passando depois</t>
  </si>
  <si>
    <t>Algo quebrou?</t>
  </si>
  <si>
    <t>Hash do commit</t>
  </si>
  <si>
    <t>COR-01</t>
  </si>
  <si>
    <t>COR-02</t>
  </si>
  <si>
    <t>COR-03</t>
  </si>
  <si>
    <t>11. Relatório final (Missão 7)</t>
  </si>
  <si>
    <t>Os números da seção A são calculados sozinhos a partir das outras abas. Preencha a seção B.</t>
  </si>
  <si>
    <t>A. Números do teste</t>
  </si>
  <si>
    <t>Casos de teste escritos</t>
  </si>
  <si>
    <t>Casos que passaram</t>
  </si>
  <si>
    <t>Casos que falharam</t>
  </si>
  <si>
    <t>Casos bloqueados</t>
  </si>
  <si>
    <t>Casos não executados</t>
  </si>
  <si>
    <t>Taxa de aprovação dos casos executados</t>
  </si>
  <si>
    <t>Casos de valor limite</t>
  </si>
  <si>
    <t>Bugs registrados</t>
  </si>
  <si>
    <t>Bugs críticos</t>
  </si>
  <si>
    <t>Bugs altos</t>
  </si>
  <si>
    <t>Bugs médios</t>
  </si>
  <si>
    <t>Bugs baixos</t>
  </si>
  <si>
    <t>Bugs corrigidos</t>
  </si>
  <si>
    <t>Testes não-funcionais executados</t>
  </si>
  <si>
    <t>Testes não-funcionais que falharam</t>
  </si>
  <si>
    <t>Caminhos de caixa branca analisados</t>
  </si>
  <si>
    <t>Testes automáticos escritos</t>
  </si>
  <si>
    <t>Testes automáticos que passaram</t>
  </si>
  <si>
    <t>Testes automáticos que falharam</t>
  </si>
  <si>
    <t>B. Análise e recomendação</t>
  </si>
  <si>
    <t>Resumo executivo</t>
  </si>
  <si>
    <t>Até 5 linhas, para a diretoria do cinema</t>
  </si>
  <si>
    <t>Bug mais grave nº 1 (ID e motivo)</t>
  </si>
  <si>
    <t>Bug mais grave nº 2 (ID e motivo)</t>
  </si>
  <si>
    <t>Bug mais grave nº 3 (ID e motivo)</t>
  </si>
  <si>
    <t>Recomendação</t>
  </si>
  <si>
    <t>Escolha na lista</t>
  </si>
  <si>
    <t>Justificativa da recomendação</t>
  </si>
  <si>
    <t>Relacione com o critério de lançamento (seção 6 do REQUISITOS.md)</t>
  </si>
  <si>
    <t>O que ficou sem testar e qual o risco</t>
  </si>
  <si>
    <t>O que você faria diferente num próximo ciclo de testes</t>
  </si>
  <si>
    <t>12. Uso de inteligência artificial</t>
  </si>
  <si>
    <t>Se usou IA em qualquer missão, registre aqui. Se não usou, escreva "Não usei IA" na linha IA-01.</t>
  </si>
  <si>
    <t>Ferramenta</t>
  </si>
  <si>
    <t>Prompt usado</t>
  </si>
  <si>
    <t>O que a IA respondeu (resumo)</t>
  </si>
  <si>
    <t>O que você aproveitou</t>
  </si>
  <si>
    <t>O que você conferiu ou corrigiu</t>
  </si>
  <si>
    <t>IA-01</t>
  </si>
  <si>
    <t>IA-02</t>
  </si>
  <si>
    <t>IA-03</t>
  </si>
  <si>
    <t>IA-04</t>
  </si>
  <si>
    <t>IA-05</t>
  </si>
  <si>
    <t>IA-06</t>
  </si>
  <si>
    <t>IA-07</t>
  </si>
  <si>
    <t>IA-08</t>
  </si>
  <si>
    <t>IA-09</t>
  </si>
  <si>
    <t>IA-10</t>
  </si>
  <si>
    <t>Tecnica</t>
  </si>
  <si>
    <t>Tipo</t>
  </si>
  <si>
    <t>Nivel</t>
  </si>
  <si>
    <t>StatusBug</t>
  </si>
  <si>
    <t>SimNao</t>
  </si>
  <si>
    <t>Smoke</t>
  </si>
  <si>
    <t>Recomendacao</t>
  </si>
  <si>
    <t>Funcao</t>
  </si>
  <si>
    <t>Missao</t>
  </si>
  <si>
    <t>ProblemaReq</t>
  </si>
  <si>
    <t>Estrategia</t>
  </si>
  <si>
    <t>RN01</t>
  </si>
  <si>
    <t>Unitário</t>
  </si>
  <si>
    <t>Sim</t>
  </si>
  <si>
    <t>OK</t>
  </si>
  <si>
    <t>Apto para testes</t>
  </si>
  <si>
    <t>Lançar</t>
  </si>
  <si>
    <t>precoBaseSessao</t>
  </si>
  <si>
    <t>M1</t>
  </si>
  <si>
    <t>Ambiguidade</t>
  </si>
  <si>
    <t>Preventiva</t>
  </si>
  <si>
    <t>RN02</t>
  </si>
  <si>
    <t>Valor limite</t>
  </si>
  <si>
    <t>Integração</t>
  </si>
  <si>
    <t>Falhou</t>
  </si>
  <si>
    <t>Corrigido</t>
  </si>
  <si>
    <t>Não</t>
  </si>
  <si>
    <t>Não apto</t>
  </si>
  <si>
    <t>Lançar com ressalvas</t>
  </si>
  <si>
    <t>calcularIngressos</t>
  </si>
  <si>
    <t>M2</t>
  </si>
  <si>
    <t>Reativa</t>
  </si>
  <si>
    <t>RN03</t>
  </si>
  <si>
    <t>Tabela de decisão</t>
  </si>
  <si>
    <t>Bloqueado</t>
  </si>
  <si>
    <t>Corrigido e confirmado</t>
  </si>
  <si>
    <t>Não lançar</t>
  </si>
  <si>
    <t>calcularBomboniere</t>
  </si>
  <si>
    <t>Contradição</t>
  </si>
  <si>
    <t>Preventiva e reativa</t>
  </si>
  <si>
    <t>RN04</t>
  </si>
  <si>
    <t>Transição de estados</t>
  </si>
  <si>
    <t>Não executado</t>
  </si>
  <si>
    <t>Não reproduzido</t>
  </si>
  <si>
    <t>contarItens</t>
  </si>
  <si>
    <t>M4</t>
  </si>
  <si>
    <t>Não testável</t>
  </si>
  <si>
    <t>RN05</t>
  </si>
  <si>
    <t>calcularTaxa</t>
  </si>
  <si>
    <t>M5</t>
  </si>
  <si>
    <t>RN06</t>
  </si>
  <si>
    <t>Caixa branca</t>
  </si>
  <si>
    <t>calcularDescontoCupom</t>
  </si>
  <si>
    <t>M6</t>
  </si>
  <si>
    <t>RN07</t>
  </si>
  <si>
    <t>Revisão estática</t>
  </si>
  <si>
    <t>calcularParcelasMaximas</t>
  </si>
  <si>
    <t>M7</t>
  </si>
  <si>
    <t>RN08</t>
  </si>
  <si>
    <t>Outra</t>
  </si>
  <si>
    <t>RN09</t>
  </si>
  <si>
    <t>validarCPF</t>
  </si>
  <si>
    <t>RN11</t>
  </si>
  <si>
    <t>formatarMoeda</t>
  </si>
  <si>
    <t>RN12</t>
  </si>
  <si>
    <t>RN14</t>
  </si>
  <si>
    <t>Usabilidade</t>
  </si>
  <si>
    <t>RN15</t>
  </si>
  <si>
    <t>RN16</t>
  </si>
  <si>
    <t>RN18</t>
  </si>
  <si>
    <t>RN19</t>
  </si>
  <si>
    <t>RN20</t>
  </si>
  <si>
    <t>RN21</t>
  </si>
  <si>
    <t>Tarso Roberto de Andrade Nogueira</t>
  </si>
  <si>
    <t>tarsoroberto100-blip</t>
  </si>
  <si>
    <t>https://github.com/tarsoroberto100-blip/cinelume-qa-tarso-roberto.git</t>
  </si>
  <si>
    <t>Edge, 155.0.4283.62</t>
  </si>
  <si>
    <t>windows 11</t>
  </si>
  <si>
    <t>ok</t>
  </si>
  <si>
    <t>a pagina abriu sem erros</t>
  </si>
  <si>
    <t>os 4 filmes aparecem corretamente em suas respectivas sessões</t>
  </si>
  <si>
    <t>ao escolher a sessão aparece o mapa de acentos</t>
  </si>
  <si>
    <t>o valor aparece quando se escolhe o acento</t>
  </si>
  <si>
    <t>o item foi adicionado corretamente</t>
  </si>
  <si>
    <t>o botão responde a interação</t>
  </si>
  <si>
    <t>as formas de pagamento podem ser selecionadas</t>
  </si>
  <si>
    <t>os dados aparecem corretamente na tela</t>
  </si>
  <si>
    <t>tudo ocorreu corretamente sem erros.</t>
  </si>
  <si>
    <t>Confirmação de pagamento imediata</t>
  </si>
  <si>
    <t>O requisito não especifica o comportamento caso ocorra uma falha de comunicação com o gateway de pagamento durante a confirmação.</t>
  </si>
  <si>
    <t>Qual mensagem deve ser exibida ao usuário e qual o status do pedido se a transação do cartão sofrer timeout?</t>
  </si>
  <si>
    <t>Não define quais tipos exatos de documentos são aceitos para comprovação da meia-entrada (se apenas carteira estudantil física ou digital também).</t>
  </si>
  <si>
    <t>Quais documentos específicos são aceitos na bilheteria para validar a meia-entrada digital?</t>
  </si>
  <si>
    <t>Validar se o sistema CineLume cumpre todas as Regras de Negócio especificadas no REQUISITOS.md e está apto para lançamento.</t>
  </si>
  <si>
    <t>Fluxo completo de compra de ingressos, seleção de assentos, itens da bomboniere, aplicação de cupons, validação de formulários e regras de pagamento.</t>
  </si>
  <si>
    <t>Funcionalidades de painel administrativo do cinema e integração real com gateway de pagamento bancário externo.</t>
  </si>
  <si>
    <t>Apresentar documento de comprovante na entrada</t>
  </si>
  <si>
    <t>Garante a cobertura de caixa preta, caixa branca e verificação de requisitos não-funcionais exigidos nas missões do projeto.</t>
  </si>
  <si>
    <t>Partição de Equivalência Análise de Valor Limite e Adivinhação de Erro.</t>
  </si>
  <si>
    <t>navegador edge, usando vscode.</t>
  </si>
  <si>
    <t>Sistema inicializado no navegador e aprovação nas verificações do Smoke Test</t>
  </si>
  <si>
    <t>Execução de todos os casos de teste previstos, registro de bugs com evidências e correção bem-sucedida de pelo menos um bug.</t>
  </si>
  <si>
    <t>Esquecer de commitar após a missão.</t>
  </si>
  <si>
    <t>Essencial para validar todas as regras do REQUISITOS.md</t>
  </si>
  <si>
    <t>Utilizado na Missão 6 para garantir que a correção de bug não quebrou o sistema.</t>
  </si>
  <si>
    <t>Para retestar e confirmar a correção do bug</t>
  </si>
  <si>
    <t>Utilizado na Missão 3 para encontrar falhas não mapeadas no fluxo livre.</t>
  </si>
  <si>
    <t>Validar se o fluxo completo do sistema atende aos critérios de aceitação do cliente descritos no REQUISITOS.md.</t>
  </si>
  <si>
    <t>Validar o tempo de resposta do sistema ao carregar a listagem de filmes.</t>
  </si>
  <si>
    <t>Escopo focado em validações funcionais básicas.</t>
  </si>
  <si>
    <t>Verificar o comportamento do sistema com múltiplos cliques simultâneos no mapa de assentos.</t>
  </si>
  <si>
    <t>Volume de dados reduzido para esta versão do projeto.</t>
  </si>
  <si>
    <t>Verificar inputs contra injeções de script (XSS) e validação de dados de formulário.</t>
  </si>
  <si>
    <t>Testar a recuperação do carrinho de compras em caso de atualização da página.</t>
  </si>
  <si>
    <t>Garantir navegação básica por teclado e contraste adequado nos botões principais.</t>
  </si>
  <si>
    <t>Ca01.1</t>
  </si>
  <si>
    <t>Cadastro com nome válido</t>
  </si>
  <si>
    <t>Acessar a página de dados do comprador</t>
  </si>
  <si>
    <t>Digitar o nome no campo correspondente/Clicar em avançar</t>
  </si>
  <si>
    <t>nome: joão andrade</t>
  </si>
  <si>
    <t>Campo aceite sem erros</t>
  </si>
  <si>
    <t>Campo aceito e sem mensagens de erro exibidas.</t>
  </si>
  <si>
    <t>ca02.1</t>
  </si>
  <si>
    <t>E-mail válido no cadastro</t>
  </si>
  <si>
    <t>Digitar e-mail correto/Clicar em avançar</t>
  </si>
  <si>
    <t>email: lindo@gmail.com</t>
  </si>
  <si>
    <t>E-mail aceite pelo sistema</t>
  </si>
  <si>
    <t>ca02.2</t>
  </si>
  <si>
    <t>E-mail sem o caractere @</t>
  </si>
  <si>
    <t>Digitar e-mail sem @/Clicar em confirmar</t>
  </si>
  <si>
    <t>email: lindauvo@gmail.coom</t>
  </si>
  <si>
    <t>Mensagem de erro exibida indicando formato inválido</t>
  </si>
  <si>
    <t>ca03.1</t>
  </si>
  <si>
    <t>Seleção de assento livre</t>
  </si>
  <si>
    <t>Estar no mapa de assentos da sessão escolhida</t>
  </si>
  <si>
    <t>Clicar num assento livre (cor verde)/Verificar atualização no resumo</t>
  </si>
  <si>
    <t>assento: B04</t>
  </si>
  <si>
    <t>Assento marcado como selecionado e valor somado</t>
  </si>
  <si>
    <t>ca04.1</t>
  </si>
  <si>
    <t>Tentativa de selecionar assento ocupado</t>
  </si>
  <si>
    <t>Estar no mapa de assentos da sessão</t>
  </si>
  <si>
    <t>Clicar num assento já ocupado (cor vermelha)</t>
  </si>
  <si>
    <t>Assento: A02 (ocupado)</t>
  </si>
  <si>
    <t>Sistema impede a seleção e avisa que o assento está indisponível</t>
  </si>
  <si>
    <t>ca05.1</t>
  </si>
  <si>
    <t>Seleção de modalidade meia-entrada</t>
  </si>
  <si>
    <t>Estar na escolha de tipos de ingressos</t>
  </si>
  <si>
    <t>Selecionar meia-entrada para o ingresso</t>
  </si>
  <si>
    <t>Modalidade: Meia</t>
  </si>
  <si>
    <t>Sistema exige comprovação ou aplica o desconto correto</t>
  </si>
  <si>
    <t>ca06.1</t>
  </si>
  <si>
    <t>Adicionar item da bomboniere</t>
  </si>
  <si>
    <t>Estar na aba da bomboniere</t>
  </si>
  <si>
    <t>Escolher um combo/Clicar em adicionar ao carrinho</t>
  </si>
  <si>
    <t>Item: Pipoca pequena</t>
  </si>
  <si>
    <t>Item adicionado ao carrinho com valor somado ao total</t>
  </si>
  <si>
    <t>ca07.1</t>
  </si>
  <si>
    <t>Aplicação de cupom válido</t>
  </si>
  <si>
    <t>Estar na tela de pagamento com itens no carrinho</t>
  </si>
  <si>
    <t>Digitar cupom ativo/Clicar em aplicar</t>
  </si>
  <si>
    <t>Cupom: CINEMA10</t>
  </si>
  <si>
    <t>Desconto aplicado sobre o valor total da compra</t>
  </si>
  <si>
    <t>ca07.2</t>
  </si>
  <si>
    <t>Aplicação de cupom inválido</t>
  </si>
  <si>
    <t>Estar na tela de pagamento</t>
  </si>
  <si>
    <t>Digitar cupom inexistente\n2. Clicar em aplicar</t>
  </si>
  <si>
    <t>Cupom: INVALIDO99</t>
  </si>
  <si>
    <t>Mensagem de erro informando que o cupom é inválido</t>
  </si>
  <si>
    <t>ca08.1</t>
  </si>
  <si>
    <t>Pagamento com cartão de crédito</t>
  </si>
  <si>
    <t>Estar na etapa final de pagamento</t>
  </si>
  <si>
    <t>Selecionar cartão/Preencher dados válidos/ Finalizar</t>
  </si>
  <si>
    <t>Dados de cartão válidos</t>
  </si>
  <si>
    <t>Compra aprovada e redirecionamento para confirmação</t>
  </si>
  <si>
    <t>ca01.2</t>
  </si>
  <si>
    <t>Nome com 1 caractere (abaixo do limite)</t>
  </si>
  <si>
    <t>Estar no cadastro</t>
  </si>
  <si>
    <t>Digitar nome com 1 letra/Avançar</t>
  </si>
  <si>
    <t>Nome: B</t>
  </si>
  <si>
    <t>Sistema rejeita por não atingir o limite mínimo</t>
  </si>
  <si>
    <t>ca01.3</t>
  </si>
  <si>
    <t>Nome com 2 caracteres (limite mínimo exato)</t>
  </si>
  <si>
    <t>Digitar nome com 2 letras/Avançar</t>
  </si>
  <si>
    <t>Nome: Je</t>
  </si>
  <si>
    <t>Sistema aceita o campo por atingir o limite mínimo</t>
  </si>
  <si>
    <t>ca09.1</t>
  </si>
  <si>
    <t>Selecionar zero ingressos</t>
  </si>
  <si>
    <t>Estar na selecção de bilhetes</t>
  </si>
  <si>
    <t>Manter quantidade de ingressos em 0/ Tentar prosseguir</t>
  </si>
  <si>
    <t>Quantidade: 0</t>
  </si>
  <si>
    <t>Sistema impede o avanço e exige pelo menos 1 ingresso</t>
  </si>
  <si>
    <t>ca10.1</t>
  </si>
  <si>
    <t>Quantidade máxima permitida de ingressos</t>
  </si>
  <si>
    <t>Selecionar o limite máximo de assentos permitidos</t>
  </si>
  <si>
    <t>Quantidade: 10 ingressos</t>
  </si>
  <si>
    <t>Sistema aceita a seleção até ao limite máximo</t>
  </si>
  <si>
    <t>ca10.2</t>
  </si>
  <si>
    <t>Quantidade acima do máximo permitido</t>
  </si>
  <si>
    <t>Selecionar quantidade acima do teto permitido</t>
  </si>
  <si>
    <t>Quantidade: 11 ingressos</t>
  </si>
  <si>
    <t>Sistema bloqueia e exibe aviso sobre o limite máximo</t>
  </si>
  <si>
    <t>E-mail validado e aceito pelo sistema.</t>
  </si>
  <si>
    <t>Mensagem "Informe um e-mail válido" exibida corretamente.</t>
  </si>
  <si>
    <t>Assento selecionado e valor somado ao resumo.</t>
  </si>
  <si>
    <t>Sistema bloqueou a seleção de assento ocupado.</t>
  </si>
  <si>
    <t>Modalidade meia-entrada aplicada corretamente.</t>
  </si>
  <si>
    <t>Item adicionado ao carrinho com valor correto.</t>
  </si>
  <si>
    <t>Desconto do cupom aplicado no valor total.</t>
  </si>
  <si>
    <t>Aviso de cupom inválido exibido com sucesso.</t>
  </si>
  <si>
    <t>Pagamento processado e tela de confirmação exibida.</t>
  </si>
  <si>
    <t>Sistema rejeitou o cadastro por tamanho inválido.</t>
  </si>
  <si>
    <t>Sistema aceitou o nome no limite mínimo.</t>
  </si>
  <si>
    <t>Sistema impediu o avanço com 0 ingressos.</t>
  </si>
  <si>
    <t>Seleção permitida até o teto máximo de assentos.</t>
  </si>
  <si>
    <t>Sistema bloqueou a seleção acima do limite e exibiu aviso.</t>
  </si>
  <si>
    <t>evidencia_ct01.png</t>
  </si>
  <si>
    <t>evidencia_ct02.png</t>
  </si>
  <si>
    <t>evidencia_ct03.png</t>
  </si>
  <si>
    <t>evidencia_ct04.png</t>
  </si>
  <si>
    <t>evidencia_ct05.png</t>
  </si>
  <si>
    <t>evidencia_ct06.png</t>
  </si>
  <si>
    <t>evidencia_ct07.png</t>
  </si>
  <si>
    <t>evidencia_ct08.png</t>
  </si>
  <si>
    <t>evidencia_ct09.png</t>
  </si>
  <si>
    <t>evidencia_ct10.png</t>
  </si>
  <si>
    <t>evidencia_ct11.png</t>
  </si>
  <si>
    <t>evidencia_ct12.png</t>
  </si>
  <si>
    <t>evidencia_ct13.png</t>
  </si>
  <si>
    <t>evidencia_ct14.png</t>
  </si>
  <si>
    <t>evidencia_ct15.png</t>
  </si>
  <si>
    <t>Erro no cálculo do valor total ao selecionar múltiplos assentos</t>
  </si>
  <si>
    <t>Aceder à sessão/Selecionar 2 assentos normais/ Verificar o valor total no resumo do carrinho</t>
  </si>
  <si>
    <t>Assentos: B04 e B05</t>
  </si>
  <si>
    <t>O valor total deve somar exatamente o preço de dois ingressos.</t>
  </si>
  <si>
    <t>O sistema soma apenas o valor de um único ingresso no total do carrinho.</t>
  </si>
  <si>
    <t>Campo de e-mail aceita caracteres inválidos sem o símbolo @</t>
  </si>
  <si>
    <t>Chegar à etapa de dados do comprador/ Digitar um e-mail sem o caractere '@'/Clicar em avançar</t>
  </si>
  <si>
    <t>E-mail: lindoemail.com</t>
  </si>
  <si>
    <t>O sistema deve bloquear e exibir mensagem de formato inválido.</t>
  </si>
  <si>
    <t>O sistema aceita o avanço sem validar o formato do e-mail.</t>
  </si>
  <si>
    <t>Possibilidade de selecionar assento já ocupado</t>
  </si>
  <si>
    <t>Abrir o mapa de assentos/Clicar diretamente num assento marcado como ocupado</t>
  </si>
  <si>
    <t>Assento: A01 (ocupado)</t>
  </si>
  <si>
    <t>O sistema deve impedir a marcação e emitir aviso de indisponibilidade.</t>
  </si>
  <si>
    <t>O assento ocupado fica selecionado e é contabilizado na compra.</t>
  </si>
  <si>
    <t>Cupom de desconto expirado é aplicado com sucesso</t>
  </si>
  <si>
    <t>Ir para a tela de pagamento/ Inserir um cupom com data de validade vencida/Clicar em aplicar</t>
  </si>
  <si>
    <t>Cupom: PROMO2023</t>
  </si>
  <si>
    <t>O sistema deve recusar o cupom e exibir mensagem de expiração.</t>
  </si>
  <si>
    <t>O desconto é aplicado normalmente no valor final da compra.</t>
  </si>
  <si>
    <t>Estouro de limite máximo de ingressos por transação</t>
  </si>
  <si>
    <t>Na seleção de bilhetes, escolher 11 assentos/ Tentar prosseguir</t>
  </si>
  <si>
    <t>O sistema deve bloquear e alertar sobre o limite máximo por compra.</t>
  </si>
  <si>
    <t>O sistema permite prosseguir para o pagamento sem restrições.</t>
  </si>
  <si>
    <t>Falha de responsividade no botão de confirmação em telas menores</t>
  </si>
  <si>
    <t>Reduzir a janela do navegador para tamanho mobile/ Aceder à tela de finalização</t>
  </si>
  <si>
    <t>Resolução simulada de telemóvel</t>
  </si>
  <si>
    <t>O botão de confirmar pagamento deve adaptar-se visivelmente ao ecrã.</t>
  </si>
  <si>
    <t>O botão fica parcialmente oculto fora da área visível do ecrã.</t>
  </si>
  <si>
    <t>bug_01.png</t>
  </si>
  <si>
    <t>bug_02.png</t>
  </si>
  <si>
    <t>bug_03.png</t>
  </si>
  <si>
    <t>bug_04.png</t>
  </si>
  <si>
    <t>bug_05.png</t>
  </si>
  <si>
    <t>bug_06.png</t>
  </si>
  <si>
    <t>Tempo de carregamento inicial do DOM da página</t>
  </si>
  <si>
    <t>DevTools Network tab: carregamento limpo (Ctrl+F5)</t>
  </si>
  <si>
    <t>320 ms</t>
  </si>
  <si>
    <t>ate 2000 ms</t>
  </si>
  <si>
    <t>Tempo para processar renderização de 500 assentos simultâneos</t>
  </si>
  <si>
    <t>Console: console.time + loop para gerar elementos DOM de assentos</t>
  </si>
  <si>
    <t>150 ms</t>
  </si>
  <si>
    <t>ate 1000 ms</t>
  </si>
  <si>
    <t>Comportamento ao efetuar 50 cliques consecutivos no botão de adicionar item</t>
  </si>
  <si>
    <t>Console: script de repetição rápida com evento .click()</t>
  </si>
  <si>
    <t>Sem travamento ou exceção</t>
  </si>
  <si>
    <t>Manter estabilidade da interface</t>
  </si>
  <si>
    <t>Suporte a entrada de string longa com 255 caracteres no campo Nome</t>
  </si>
  <si>
    <t>Inserção de string com 255 caracteres via console no input</t>
  </si>
  <si>
    <t>Texto truncado/limitado corretamente</t>
  </si>
  <si>
    <t>Não quebrar o layout nem estourar o banco local</t>
  </si>
  <si>
    <t>Resistência a injeção de scripts (XSS) no campo de Nome</t>
  </si>
  <si>
    <t>Digitação do payload &lt;script&gt;alert('xss')&lt;/script&gt; no formulário</t>
  </si>
  <si>
    <t>String tratada como texto puro</t>
  </si>
  <si>
    <t>Não executar scripts no navegador</t>
  </si>
  <si>
    <t>Manutenção dos itens no carrinho após recarregar a página (F5)</t>
  </si>
  <si>
    <t>Adicionar itens ao carrinho e atualizar a página</t>
  </si>
  <si>
    <t>Estado do carrinho preservado via localStorage</t>
  </si>
  <si>
    <t>Manter dados informados pelo utilizador</t>
  </si>
  <si>
    <t>Navegação completa no formulário e seleção via teclado (Tab/Espaço)</t>
  </si>
  <si>
    <t>Navegação manual utilizando apenas a tecla Tab e Enter</t>
  </si>
  <si>
    <t>Foco visível em todos os campos interativos</t>
  </si>
  <si>
    <t>Acessibilidade total via teclado</t>
  </si>
  <si>
    <t>nf_02.png</t>
  </si>
  <si>
    <t>nf_03.png</t>
  </si>
  <si>
    <t>nf_04.png</t>
  </si>
  <si>
    <t>nf_05.png</t>
  </si>
  <si>
    <t>nf_06.png</t>
  </si>
  <si>
    <t>nf_07.png</t>
  </si>
  <si>
    <t>condição verdadeira</t>
  </si>
  <si>
    <t>validarNome("João")</t>
  </si>
  <si>
    <t>true (RN13: mínimo de 3 caracteres)</t>
  </si>
  <si>
    <t>mail.includes('@') &amp;&amp; email.includes('.')</t>
  </si>
  <si>
    <t>validarEmail("lindo@email.com")</t>
  </si>
  <si>
    <t>true (RN02: formato de e-mail válido)</t>
  </si>
  <si>
    <t>Condição falsa (ausência de @)</t>
  </si>
  <si>
    <t>validarEmail("lindoemail.com")</t>
  </si>
  <si>
    <t>false (RN02: e-mail sem @)</t>
  </si>
  <si>
    <t>qtd &gt; 0 &amp;&amp; qtd &lt;= 10</t>
  </si>
  <si>
    <t>Condição verdadeira (dentro do limite)</t>
  </si>
  <si>
    <t>validarQuantidadeIngressos</t>
  </si>
  <si>
    <t>true (RN10: permitido entre 1 e 10 ingressos)</t>
  </si>
  <si>
    <t>Condição falsa (abaixo do limite mínimo)</t>
  </si>
  <si>
    <t>validarQuantidadeIngressos(0)</t>
  </si>
  <si>
    <t>false (RN10: mínimo de 1 ingresso)</t>
  </si>
  <si>
    <t>Condição falsa (acima do limite máximo)</t>
  </si>
  <si>
    <t>validarQuantidadeIngressos(11)</t>
  </si>
  <si>
    <t>false (RN10: máximo de 10 ingressos)</t>
  </si>
  <si>
    <t>Nome com 3 ou mais caracteres é válido</t>
  </si>
  <si>
    <t>testar('AT01', 'Nome válido', validarNome('Carlos'), true);</t>
  </si>
  <si>
    <t>Nome com menos de 3 caracteres é recusado</t>
  </si>
  <si>
    <t>testar('AT02', 'Nome curto', validarNome('Zé'), false);</t>
  </si>
  <si>
    <t>E-mail sem o símbolo @ deve ser recusado</t>
  </si>
  <si>
    <t>testar('AT03', 'E-mail sem @', validarEmail('clienteemail.com'), false);</t>
  </si>
  <si>
    <t>Quantidade dentro do limite permitido (1 a 10)</t>
  </si>
  <si>
    <t>testar('AT04', 'Qtd válida', validarQuantidadeIngressos(5), true);</t>
  </si>
  <si>
    <t>Quantidade acima do teto de 10 ingressos</t>
  </si>
  <si>
    <t>testar('AT05', 'Qtd acima limite', validarQuantidadeIngressos(11), false);</t>
  </si>
  <si>
    <t>Cupom de desconto expirado</t>
  </si>
  <si>
    <t>testar('AT06', 'Cupom expirado', validarCupom('PROMO2023'), false);</t>
  </si>
  <si>
    <t>Tentativa de seleção de assento já ocupado</t>
  </si>
  <si>
    <t>testar('AT07', 'Assento ocupado', validarAssento('A01'), false);</t>
  </si>
  <si>
    <t>Cálculo correto do total para múltiplos assentos</t>
  </si>
  <si>
    <t>testar('AT08', 'Cálculo total', calcularTotal(2, 20.0), 40.0);</t>
  </si>
  <si>
    <t>40.0</t>
  </si>
  <si>
    <t>20.0</t>
  </si>
  <si>
    <t>regras.js</t>
  </si>
  <si>
    <t>calcularTotal</t>
  </si>
  <si>
    <t>A função somava apenas o preço unitário de um único ingresso em vez de multiplicar pela quantidade selecionada.</t>
  </si>
  <si>
    <t>Ajuste na lógica de cálculo para multiplicar o valor unitário pela quantidade total de assentos escolhidos.</t>
  </si>
  <si>
    <t>AT01 a AT07</t>
  </si>
  <si>
    <t>passaram</t>
  </si>
  <si>
    <t>9a6c1f9</t>
  </si>
  <si>
    <t>O CineLume v1.0 passou por um processo completo de testes, cobrindo a parte funcional, estrutural, não funcional e automatizada. A aplicação surpreendeu positivamente na performance e nos testes de carga, mas encontrámos falhas críticas nas regras de negócio e nos cálculos que exigem correção antes de o sistema ir para as mãos dos utilizadores.</t>
  </si>
  <si>
    <t>BUG-03: O sistema permite selecionar assentos que já estão ocupados no mapa da sala, o que pode gerar graves problemas de overbooking e confusão no atendimento.</t>
  </si>
  <si>
    <t>BUG-01: Erro crítico no carrinho de compras, onde o cálculo do valor total para vários bilhetes acaba por ignorar a quantidade e soma apenas o preço de um único ingresso.</t>
  </si>
  <si>
    <t>BUG-04: Cupões de desconto com prazos de validade já expirados continuam a ser aplicados com sucesso, o que impacta diretamente a receita das vendas.</t>
  </si>
  <si>
    <t>Apesar de a aplicação estar tecnicamente estável e rápida, as falhas detetadas na escolha de lugares e nos pagamentos representam um risco operacional e financeiro demasiado alto para avançarmos sem correções imediatas.</t>
  </si>
  <si>
    <t>Ficaram de fora os testes de integração com os gateways de pagamento reais. O risco é termos comportamentos inesperados ou falhas de comunicação com as operadoras financeiras no momento do checkout em produção.</t>
  </si>
  <si>
    <t>Numa próxima oportunidade, traria a automação de testes de ponta a ponta para mais cedo no cronograma e criaria cenários de carga ainda mais agressivos para simular picos de acessos em dias de estreia.</t>
  </si>
  <si>
    <t>Gemini</t>
  </si>
  <si>
    <t>Quais são as melhores técnicas para criar casos de teste baseados em particionamento de equivalência e análise de valor limite para validação de e-mail?</t>
  </si>
  <si>
    <t>Explicou os conceitos teóricos de divisão de classes válidas e inválidas para campos de texto.</t>
  </si>
  <si>
    <t>A ideia de organizar as colunas e separar bem os cenários positivos dos negativos.</t>
  </si>
  <si>
    <t>Mudei os exemplos genéricos da IA para baterem certo com as regras do CineLume.</t>
  </si>
  <si>
    <t>não usei ia</t>
  </si>
  <si>
    <t>Quais são os pontos principais que devo avaliar para testar a performance e a segurança básica de uma aplicação web local?</t>
  </si>
  <si>
    <t>Destacou a importância de medir o tempo de resposta e olhar os dados no console.</t>
  </si>
  <si>
    <t>Os critérios para preencher os testes de carga e desempenho.</t>
  </si>
  <si>
    <t>Adaptei tudo para os testes reais que fiz no navegador a testar o sistema.</t>
  </si>
  <si>
    <t>Podes me dar um exemplo simples de como funciona uma função de teste unitário em JavaScript para comparar valores?</t>
  </si>
  <si>
    <t>Mostrou uma estrutura básica de validação de resultados esperados versus obtidos.</t>
  </si>
  <si>
    <t>A lógica para montar a tabela de resultados no HTML.</t>
  </si>
  <si>
    <t>Reescrevi e ajustei para chamar as funções reais do regras.js.</t>
  </si>
  <si>
    <t>Como posso escrever um resumo executivo de um relatório de testes recomendando liberar o sistema, mas com ressalvas?</t>
  </si>
  <si>
    <t>Deu dicas de como equilibrar os pontos positivos com os bugs encontrados.</t>
  </si>
  <si>
    <t>A forma de organizar o texto de forma profissional.</t>
  </si>
  <si>
    <t>Coloquei os bugs reais do nosso projeto (assentos e pagamentos) e a decisão final do CineLume.</t>
  </si>
  <si>
    <t>Como posso verificar de forma simples se a correção de um bug num formulário não afetou outras partes do sistema?</t>
  </si>
  <si>
    <t>Explicou o conceito de teste de regressão e sugeriu reexecutar os cenários afetados.</t>
  </si>
  <si>
    <t>A ideia de focar os testes nas funções ao redor da correção.</t>
  </si>
  <si>
    <t>Executei manualmente os testes no sistema para validar a correção do BUG-01 e garantir que tudo funcionava.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</si>
</sst>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B2440"/>
      <name val="Arial"/>
      <charset val="1"/>
    </font>
    <font>
      <i/>
      <sz val="10"/>
      <color rgb="FF555555"/>
      <name val="Arial"/>
      <charset val="1"/>
    </font>
    <font>
      <b/>
      <sz val="11"/>
      <color rgb="FF1B244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3F2"/>
        <bgColor rgb="FFEDEDED"/>
      </patternFill>
    </fill>
    <fill>
      <patternFill patternType="solid">
        <fgColor rgb="FFFFF7DC"/>
        <bgColor rgb="FFFFFFFF"/>
      </patternFill>
    </fill>
    <fill>
      <patternFill patternType="solid">
        <fgColor rgb="FF1B2440"/>
        <bgColor rgb="FF003366"/>
      </patternFill>
    </fill>
    <fill>
      <patternFill patternType="solid">
        <fgColor rgb="FFEDEDED"/>
        <bgColor rgb="FFDCE3F2"/>
      </patternFill>
    </fill>
  </fills>
  <borders count="3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  <border>
      <left style="thin">
        <color rgb="FFC9CED8"/>
      </left>
      <right/>
      <top style="thin">
        <color rgb="FFC9CED8"/>
      </top>
      <bottom style="thin">
        <color rgb="FFC9CED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/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0" fillId="3" borderId="1" xfId="0" applyFill="1" applyBorder="1"/>
    <xf numFmtId="0" fontId="7" fillId="5" borderId="1" xfId="0" applyFont="1" applyFill="1" applyBorder="1" applyAlignment="1">
      <alignment vertical="top" wrapText="1"/>
    </xf>
    <xf numFmtId="0" fontId="6" fillId="4" borderId="0" xfId="0" applyFont="1" applyFill="1"/>
    <xf numFmtId="0" fontId="0" fillId="4" borderId="0" xfId="0" applyFill="1"/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8" fillId="3" borderId="1" xfId="1" applyFill="1" applyBorder="1" applyAlignment="1">
      <alignment vertical="top" wrapText="1"/>
    </xf>
    <xf numFmtId="14" fontId="4" fillId="3" borderId="1" xfId="0" applyNumberFormat="1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20" fontId="4" fillId="3" borderId="1" xfId="0" applyNumberFormat="1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47" fontId="4" fillId="3" borderId="1" xfId="0" applyNumberFormat="1" applyFont="1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7DC"/>
      <rgbColor rgb="FFEDEDED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tarsoroberto100-blip/cinelume-qa-tarso-roberto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topLeftCell="A7" zoomScaleNormal="100" workbookViewId="0">
      <selection activeCell="B2" sqref="B2"/>
    </sheetView>
  </sheetViews>
  <sheetFormatPr defaultColWidth="8.6640625" defaultRowHeight="14.4" x14ac:dyDescent="0.3"/>
  <cols>
    <col min="1" max="1" width="38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4" t="s">
        <v>4</v>
      </c>
    </row>
    <row r="6" spans="1:2" x14ac:dyDescent="0.3">
      <c r="A6" s="5" t="s">
        <v>5</v>
      </c>
      <c r="B6" s="4" t="s">
        <v>6</v>
      </c>
    </row>
    <row r="7" spans="1:2" x14ac:dyDescent="0.3">
      <c r="A7" s="5" t="s">
        <v>7</v>
      </c>
      <c r="B7" s="4" t="s">
        <v>8</v>
      </c>
    </row>
    <row r="8" spans="1:2" x14ac:dyDescent="0.3">
      <c r="A8" s="5" t="s">
        <v>9</v>
      </c>
      <c r="B8" s="4" t="s">
        <v>10</v>
      </c>
    </row>
    <row r="9" spans="1:2" x14ac:dyDescent="0.3">
      <c r="A9" s="5" t="s">
        <v>11</v>
      </c>
      <c r="B9" s="4" t="s">
        <v>12</v>
      </c>
    </row>
    <row r="10" spans="1:2" x14ac:dyDescent="0.3">
      <c r="A10" s="5" t="s">
        <v>13</v>
      </c>
      <c r="B10" s="4" t="s">
        <v>14</v>
      </c>
    </row>
    <row r="11" spans="1:2" x14ac:dyDescent="0.3">
      <c r="A11" s="5" t="s">
        <v>15</v>
      </c>
      <c r="B11" s="4" t="s">
        <v>16</v>
      </c>
    </row>
    <row r="12" spans="1:2" x14ac:dyDescent="0.3">
      <c r="A12" s="5" t="s">
        <v>17</v>
      </c>
      <c r="B12" s="4" t="s">
        <v>18</v>
      </c>
    </row>
    <row r="13" spans="1:2" x14ac:dyDescent="0.3">
      <c r="A13" s="6"/>
      <c r="B13" s="4"/>
    </row>
    <row r="14" spans="1:2" x14ac:dyDescent="0.3">
      <c r="A14" s="3" t="s">
        <v>19</v>
      </c>
      <c r="B14" s="4"/>
    </row>
    <row r="15" spans="1:2" x14ac:dyDescent="0.3">
      <c r="A15" s="5" t="s">
        <v>20</v>
      </c>
      <c r="B15" s="4" t="s">
        <v>21</v>
      </c>
    </row>
    <row r="16" spans="1:2" x14ac:dyDescent="0.3">
      <c r="A16" s="5" t="s">
        <v>22</v>
      </c>
      <c r="B16" s="4" t="s">
        <v>23</v>
      </c>
    </row>
    <row r="17" spans="1:2" x14ac:dyDescent="0.3">
      <c r="A17" s="5" t="s">
        <v>24</v>
      </c>
      <c r="B17" s="4" t="s">
        <v>25</v>
      </c>
    </row>
    <row r="18" spans="1:2" x14ac:dyDescent="0.3">
      <c r="A18" s="5" t="s">
        <v>26</v>
      </c>
      <c r="B18" s="4" t="s">
        <v>27</v>
      </c>
    </row>
    <row r="19" spans="1:2" x14ac:dyDescent="0.3">
      <c r="A19" s="5" t="s">
        <v>28</v>
      </c>
      <c r="B19" s="4" t="s">
        <v>29</v>
      </c>
    </row>
    <row r="20" spans="1:2" x14ac:dyDescent="0.3">
      <c r="A20" s="5" t="s">
        <v>30</v>
      </c>
      <c r="B20" s="4" t="s">
        <v>31</v>
      </c>
    </row>
    <row r="21" spans="1:2" x14ac:dyDescent="0.3">
      <c r="A21" s="5" t="s">
        <v>32</v>
      </c>
      <c r="B21" s="4" t="s">
        <v>33</v>
      </c>
    </row>
    <row r="22" spans="1:2" x14ac:dyDescent="0.3">
      <c r="A22" s="5" t="s">
        <v>34</v>
      </c>
      <c r="B22" s="4" t="s">
        <v>35</v>
      </c>
    </row>
    <row r="23" spans="1:2" x14ac:dyDescent="0.3">
      <c r="A23" s="5" t="s">
        <v>36</v>
      </c>
      <c r="B23" s="4" t="s">
        <v>37</v>
      </c>
    </row>
    <row r="24" spans="1:2" x14ac:dyDescent="0.3">
      <c r="A24" s="6"/>
      <c r="B24" s="4"/>
    </row>
    <row r="25" spans="1:2" x14ac:dyDescent="0.3">
      <c r="A25" s="3" t="s">
        <v>38</v>
      </c>
      <c r="B25" s="4"/>
    </row>
    <row r="26" spans="1:2" x14ac:dyDescent="0.3">
      <c r="A26" s="5" t="s">
        <v>39</v>
      </c>
      <c r="B26" s="4" t="s">
        <v>40</v>
      </c>
    </row>
    <row r="27" spans="1:2" x14ac:dyDescent="0.3">
      <c r="A27" s="5" t="s">
        <v>41</v>
      </c>
      <c r="B27" s="4" t="s">
        <v>42</v>
      </c>
    </row>
    <row r="28" spans="1:2" x14ac:dyDescent="0.3">
      <c r="A28" s="5" t="s">
        <v>43</v>
      </c>
      <c r="B28" s="4" t="s">
        <v>44</v>
      </c>
    </row>
    <row r="29" spans="1:2" x14ac:dyDescent="0.3">
      <c r="A29" s="5" t="s">
        <v>45</v>
      </c>
      <c r="B29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topLeftCell="B1" zoomScaleNormal="100" workbookViewId="0">
      <selection activeCell="B20" sqref="B20"/>
    </sheetView>
  </sheetViews>
  <sheetFormatPr defaultColWidth="8.6640625" defaultRowHeight="14.4" x14ac:dyDescent="0.3"/>
  <cols>
    <col min="1" max="1" width="34" customWidth="1"/>
    <col min="2" max="2" width="90" customWidth="1"/>
  </cols>
  <sheetData>
    <row r="1" spans="1:3" ht="17.399999999999999" x14ac:dyDescent="0.3">
      <c r="A1" s="1" t="s">
        <v>47</v>
      </c>
    </row>
    <row r="2" spans="1:3" x14ac:dyDescent="0.3">
      <c r="A2" s="2" t="s">
        <v>48</v>
      </c>
    </row>
    <row r="4" spans="1:3" x14ac:dyDescent="0.3">
      <c r="A4" s="7" t="s">
        <v>49</v>
      </c>
      <c r="B4" s="8" t="s">
        <v>495</v>
      </c>
    </row>
    <row r="5" spans="1:3" x14ac:dyDescent="0.3">
      <c r="A5" s="7" t="s">
        <v>50</v>
      </c>
      <c r="B5" s="8" t="s">
        <v>496</v>
      </c>
    </row>
    <row r="6" spans="1:3" x14ac:dyDescent="0.3">
      <c r="A6" s="7" t="s">
        <v>51</v>
      </c>
      <c r="B6" s="20" t="s">
        <v>497</v>
      </c>
      <c r="C6" s="9" t="s">
        <v>52</v>
      </c>
    </row>
    <row r="7" spans="1:3" x14ac:dyDescent="0.3">
      <c r="A7" s="7" t="s">
        <v>53</v>
      </c>
      <c r="B7" s="21">
        <v>46323</v>
      </c>
      <c r="C7" s="9" t="s">
        <v>54</v>
      </c>
    </row>
    <row r="8" spans="1:3" x14ac:dyDescent="0.3">
      <c r="A8" s="7" t="s">
        <v>55</v>
      </c>
      <c r="B8" s="22" t="s">
        <v>498</v>
      </c>
      <c r="C8" s="9" t="s">
        <v>56</v>
      </c>
    </row>
    <row r="9" spans="1:3" x14ac:dyDescent="0.3">
      <c r="A9" s="7" t="s">
        <v>57</v>
      </c>
      <c r="B9" s="22" t="s">
        <v>499</v>
      </c>
      <c r="C9" s="9" t="s">
        <v>58</v>
      </c>
    </row>
    <row r="10" spans="1:3" x14ac:dyDescent="0.3">
      <c r="A10" s="7" t="s">
        <v>59</v>
      </c>
      <c r="B10" s="23">
        <v>0.80208333333333337</v>
      </c>
      <c r="C10" s="9" t="s">
        <v>60</v>
      </c>
    </row>
    <row r="11" spans="1:3" x14ac:dyDescent="0.3">
      <c r="A11" s="7" t="s">
        <v>61</v>
      </c>
      <c r="B11" s="25">
        <v>46296.013429398146</v>
      </c>
      <c r="C11" s="9" t="s">
        <v>60</v>
      </c>
    </row>
  </sheetData>
  <hyperlinks>
    <hyperlink ref="B6" r:id="rId1" xr:uid="{056DF173-E09F-42D3-AEE7-F33CE03D49E0}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6" sqref="D16"/>
    </sheetView>
  </sheetViews>
  <sheetFormatPr defaultColWidth="8.6640625" defaultRowHeight="14.4" x14ac:dyDescent="0.3"/>
  <cols>
    <col min="1" max="1" width="12" customWidth="1"/>
    <col min="2" max="2" width="60" customWidth="1"/>
    <col min="3" max="3" width="14" customWidth="1"/>
    <col min="4" max="4" width="60" customWidth="1"/>
  </cols>
  <sheetData>
    <row r="1" spans="1:4" ht="17.399999999999999" x14ac:dyDescent="0.3">
      <c r="A1" s="1" t="s">
        <v>62</v>
      </c>
    </row>
    <row r="2" spans="1:4" x14ac:dyDescent="0.3">
      <c r="A2" s="2" t="s">
        <v>63</v>
      </c>
    </row>
    <row r="4" spans="1:4" ht="31.5" customHeight="1" x14ac:dyDescent="0.3">
      <c r="A4" s="10" t="s">
        <v>64</v>
      </c>
      <c r="B4" s="10" t="s">
        <v>65</v>
      </c>
      <c r="C4" s="10" t="s">
        <v>66</v>
      </c>
      <c r="D4" s="10" t="s">
        <v>67</v>
      </c>
    </row>
    <row r="5" spans="1:4" x14ac:dyDescent="0.3">
      <c r="A5" s="7" t="s">
        <v>68</v>
      </c>
      <c r="B5" s="11" t="s">
        <v>69</v>
      </c>
      <c r="C5" s="22" t="s">
        <v>500</v>
      </c>
      <c r="D5" s="22" t="s">
        <v>501</v>
      </c>
    </row>
    <row r="6" spans="1:4" x14ac:dyDescent="0.3">
      <c r="A6" s="7" t="s">
        <v>70</v>
      </c>
      <c r="B6" s="11" t="s">
        <v>71</v>
      </c>
      <c r="C6" s="22" t="s">
        <v>500</v>
      </c>
      <c r="D6" s="22" t="s">
        <v>502</v>
      </c>
    </row>
    <row r="7" spans="1:4" x14ac:dyDescent="0.3">
      <c r="A7" s="7" t="s">
        <v>72</v>
      </c>
      <c r="B7" s="11" t="s">
        <v>73</v>
      </c>
      <c r="C7" s="22" t="s">
        <v>500</v>
      </c>
      <c r="D7" s="22" t="s">
        <v>503</v>
      </c>
    </row>
    <row r="8" spans="1:4" x14ac:dyDescent="0.3">
      <c r="A8" s="7" t="s">
        <v>74</v>
      </c>
      <c r="B8" s="11" t="s">
        <v>75</v>
      </c>
      <c r="C8" s="22" t="s">
        <v>500</v>
      </c>
      <c r="D8" s="22" t="s">
        <v>504</v>
      </c>
    </row>
    <row r="9" spans="1:4" x14ac:dyDescent="0.3">
      <c r="A9" s="7" t="s">
        <v>76</v>
      </c>
      <c r="B9" s="11" t="s">
        <v>77</v>
      </c>
      <c r="C9" s="22" t="s">
        <v>500</v>
      </c>
      <c r="D9" s="22" t="s">
        <v>505</v>
      </c>
    </row>
    <row r="10" spans="1:4" x14ac:dyDescent="0.3">
      <c r="A10" s="7" t="s">
        <v>78</v>
      </c>
      <c r="B10" s="11" t="s">
        <v>79</v>
      </c>
      <c r="C10" s="22" t="s">
        <v>500</v>
      </c>
      <c r="D10" s="22" t="s">
        <v>506</v>
      </c>
    </row>
    <row r="11" spans="1:4" x14ac:dyDescent="0.3">
      <c r="A11" s="7" t="s">
        <v>80</v>
      </c>
      <c r="B11" s="11" t="s">
        <v>81</v>
      </c>
      <c r="C11" s="22" t="s">
        <v>500</v>
      </c>
      <c r="D11" s="22" t="s">
        <v>507</v>
      </c>
    </row>
    <row r="12" spans="1:4" x14ac:dyDescent="0.3">
      <c r="A12" s="7" t="s">
        <v>82</v>
      </c>
      <c r="B12" s="11" t="s">
        <v>83</v>
      </c>
      <c r="C12" s="22" t="s">
        <v>500</v>
      </c>
      <c r="D12" s="22" t="s">
        <v>508</v>
      </c>
    </row>
    <row r="15" spans="1:4" x14ac:dyDescent="0.3">
      <c r="A15" s="12" t="s">
        <v>84</v>
      </c>
      <c r="B15" s="13" t="s">
        <v>437</v>
      </c>
    </row>
    <row r="16" spans="1:4" ht="45" customHeight="1" x14ac:dyDescent="0.3">
      <c r="A16" s="12" t="s">
        <v>85</v>
      </c>
      <c r="B16" s="13" t="s">
        <v>509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200-000000000000}">
          <x14:formula1>
            <xm:f>Listas!$J$2:$J$3</xm:f>
          </x14:formula1>
          <x14:formula2>
            <xm:f>0</xm:f>
          </x14:formula2>
          <xm:sqref>C5:C12</xm:sqref>
        </x14:dataValidation>
        <x14:dataValidation type="list" allowBlank="1" showErrorMessage="1" errorTitle="Valor inválido" error="Escolha um valor da lista." xr:uid="{00000000-0002-0000-0200-000001000000}">
          <x14:formula1>
            <xm:f>Listas!$K$2:$K$3</xm:f>
          </x14:formula1>
          <x14:formula2>
            <xm:f>0</xm:f>
          </x14:formula2>
          <xm:sqref>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3" sqref="C23"/>
    </sheetView>
  </sheetViews>
  <sheetFormatPr defaultColWidth="8.6640625" defaultRowHeight="14.4" x14ac:dyDescent="0.3"/>
  <cols>
    <col min="1" max="1" width="10" customWidth="1"/>
    <col min="2" max="2" width="9" customWidth="1"/>
    <col min="3" max="3" width="45" customWidth="1"/>
    <col min="4" max="4" width="18" customWidth="1"/>
    <col min="5" max="6" width="50" customWidth="1"/>
  </cols>
  <sheetData>
    <row r="1" spans="1:6" ht="17.399999999999999" x14ac:dyDescent="0.3">
      <c r="A1" s="1" t="s">
        <v>86</v>
      </c>
    </row>
    <row r="2" spans="1:6" x14ac:dyDescent="0.3">
      <c r="A2" s="2" t="s">
        <v>87</v>
      </c>
    </row>
    <row r="4" spans="1:6" ht="31.5" customHeight="1" x14ac:dyDescent="0.3">
      <c r="A4" s="10" t="s">
        <v>64</v>
      </c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</row>
    <row r="5" spans="1:6" ht="26.4" x14ac:dyDescent="0.3">
      <c r="A5" s="14" t="s">
        <v>93</v>
      </c>
      <c r="B5" s="14" t="s">
        <v>94</v>
      </c>
      <c r="C5" s="14" t="s">
        <v>95</v>
      </c>
      <c r="D5" s="14" t="s">
        <v>96</v>
      </c>
      <c r="E5" s="14" t="s">
        <v>97</v>
      </c>
      <c r="F5" s="14" t="s">
        <v>98</v>
      </c>
    </row>
    <row r="6" spans="1:6" ht="39.6" x14ac:dyDescent="0.3">
      <c r="A6" s="7" t="s">
        <v>99</v>
      </c>
      <c r="B6" s="22" t="s">
        <v>433</v>
      </c>
      <c r="C6" s="22" t="s">
        <v>510</v>
      </c>
      <c r="D6" s="8" t="s">
        <v>96</v>
      </c>
      <c r="E6" s="22" t="s">
        <v>511</v>
      </c>
      <c r="F6" s="22" t="s">
        <v>512</v>
      </c>
    </row>
    <row r="7" spans="1:6" ht="39.6" x14ac:dyDescent="0.3">
      <c r="A7" s="7" t="s">
        <v>100</v>
      </c>
      <c r="B7" s="8" t="s">
        <v>443</v>
      </c>
      <c r="C7" s="22" t="s">
        <v>518</v>
      </c>
      <c r="D7" s="8" t="s">
        <v>441</v>
      </c>
      <c r="E7" s="22" t="s">
        <v>513</v>
      </c>
      <c r="F7" s="22" t="s">
        <v>514</v>
      </c>
    </row>
    <row r="8" spans="1:6" x14ac:dyDescent="0.3">
      <c r="A8" s="7" t="s">
        <v>101</v>
      </c>
      <c r="B8" s="8"/>
      <c r="C8" s="8"/>
      <c r="D8" s="8"/>
      <c r="E8" s="8"/>
      <c r="F8" s="8"/>
    </row>
    <row r="9" spans="1:6" x14ac:dyDescent="0.3">
      <c r="A9" s="7" t="s">
        <v>102</v>
      </c>
      <c r="B9" s="8"/>
      <c r="C9" s="8"/>
      <c r="D9" s="8"/>
      <c r="E9" s="8"/>
      <c r="F9" s="8"/>
    </row>
    <row r="10" spans="1:6" x14ac:dyDescent="0.3">
      <c r="A10" s="7" t="s">
        <v>103</v>
      </c>
      <c r="B10" s="8"/>
      <c r="C10" s="8"/>
      <c r="D10" s="8"/>
      <c r="E10" s="8"/>
      <c r="F10" s="8"/>
    </row>
    <row r="11" spans="1:6" x14ac:dyDescent="0.3">
      <c r="A11" s="7" t="s">
        <v>104</v>
      </c>
      <c r="B11" s="8"/>
      <c r="C11" s="8"/>
      <c r="D11" s="8"/>
      <c r="E11" s="8"/>
      <c r="F11" s="8"/>
    </row>
    <row r="12" spans="1:6" x14ac:dyDescent="0.3">
      <c r="A12" s="7" t="s">
        <v>105</v>
      </c>
      <c r="B12" s="8"/>
      <c r="C12" s="8"/>
      <c r="D12" s="8"/>
      <c r="E12" s="8"/>
      <c r="F12" s="8"/>
    </row>
    <row r="13" spans="1:6" x14ac:dyDescent="0.3">
      <c r="A13" s="7" t="s">
        <v>106</v>
      </c>
      <c r="B13" s="8"/>
      <c r="C13" s="8"/>
      <c r="D13" s="8"/>
      <c r="E13" s="8"/>
      <c r="F13" s="8"/>
    </row>
    <row r="14" spans="1:6" x14ac:dyDescent="0.3">
      <c r="A14" s="7" t="s">
        <v>107</v>
      </c>
      <c r="B14" s="8"/>
      <c r="C14" s="8"/>
      <c r="D14" s="8"/>
      <c r="E14" s="8"/>
      <c r="F14" s="8"/>
    </row>
    <row r="15" spans="1:6" x14ac:dyDescent="0.3">
      <c r="A15" s="7" t="s">
        <v>108</v>
      </c>
      <c r="B15" s="8"/>
      <c r="C15" s="8"/>
      <c r="D15" s="8"/>
      <c r="E15" s="8"/>
      <c r="F1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300-000000000000}">
          <x14:formula1>
            <xm:f>Listas!$A$2:$A$22</xm:f>
          </x14:formula1>
          <x14:formula2>
            <xm:f>0</xm:f>
          </x14:formula2>
          <xm:sqref>B6:B15</xm:sqref>
        </x14:dataValidation>
        <x14:dataValidation type="list" allowBlank="1" showErrorMessage="1" errorTitle="Valor inválido" error="Escolha um valor da lista." xr:uid="{00000000-0002-0000-0300-000001000000}">
          <x14:formula1>
            <xm:f>Listas!$O$2:$O$5</xm:f>
          </x14:formula1>
          <x14:formula2>
            <xm:f>0</xm:f>
          </x14:formula2>
          <xm:sqref>D6:D15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showGridLines="0" topLeftCell="A16" zoomScaleNormal="100" workbookViewId="0">
      <selection activeCell="C29" sqref="C29"/>
    </sheetView>
  </sheetViews>
  <sheetFormatPr defaultColWidth="8.6640625" defaultRowHeight="14.4" x14ac:dyDescent="0.3"/>
  <cols>
    <col min="1" max="1" width="34" customWidth="1"/>
    <col min="2" max="2" width="90" customWidth="1"/>
    <col min="3" max="3" width="60" customWidth="1"/>
  </cols>
  <sheetData>
    <row r="1" spans="1:3" ht="17.399999999999999" x14ac:dyDescent="0.3">
      <c r="A1" s="1" t="s">
        <v>109</v>
      </c>
    </row>
    <row r="2" spans="1:3" x14ac:dyDescent="0.3">
      <c r="A2" s="2" t="s">
        <v>110</v>
      </c>
    </row>
    <row r="4" spans="1:3" ht="42" customHeight="1" x14ac:dyDescent="0.3">
      <c r="A4" s="7" t="s">
        <v>111</v>
      </c>
      <c r="B4" s="22" t="s">
        <v>515</v>
      </c>
    </row>
    <row r="5" spans="1:3" ht="42" customHeight="1" x14ac:dyDescent="0.3">
      <c r="A5" s="7" t="s">
        <v>112</v>
      </c>
      <c r="B5" s="22" t="s">
        <v>516</v>
      </c>
      <c r="C5" s="9" t="s">
        <v>113</v>
      </c>
    </row>
    <row r="6" spans="1:3" ht="42" customHeight="1" x14ac:dyDescent="0.3">
      <c r="A6" s="7" t="s">
        <v>114</v>
      </c>
      <c r="B6" s="22" t="s">
        <v>517</v>
      </c>
    </row>
    <row r="7" spans="1:3" ht="42" customHeight="1" x14ac:dyDescent="0.3">
      <c r="A7" s="7" t="s">
        <v>115</v>
      </c>
      <c r="B7" s="8" t="s">
        <v>442</v>
      </c>
      <c r="C7" s="9" t="s">
        <v>116</v>
      </c>
    </row>
    <row r="8" spans="1:3" ht="42" customHeight="1" x14ac:dyDescent="0.3">
      <c r="A8" s="7" t="s">
        <v>117</v>
      </c>
      <c r="B8" s="22" t="s">
        <v>519</v>
      </c>
    </row>
    <row r="9" spans="1:3" ht="42" customHeight="1" x14ac:dyDescent="0.3">
      <c r="A9" s="7" t="s">
        <v>118</v>
      </c>
      <c r="B9" s="22" t="s">
        <v>515</v>
      </c>
      <c r="C9" s="9" t="s">
        <v>119</v>
      </c>
    </row>
    <row r="10" spans="1:3" ht="42" customHeight="1" x14ac:dyDescent="0.3">
      <c r="A10" s="7" t="s">
        <v>120</v>
      </c>
      <c r="B10" s="22" t="s">
        <v>520</v>
      </c>
      <c r="C10" s="9" t="s">
        <v>121</v>
      </c>
    </row>
    <row r="11" spans="1:3" ht="42" customHeight="1" x14ac:dyDescent="0.3">
      <c r="A11" s="7" t="s">
        <v>122</v>
      </c>
      <c r="B11" s="22" t="s">
        <v>521</v>
      </c>
      <c r="C11" s="9" t="s">
        <v>123</v>
      </c>
    </row>
    <row r="12" spans="1:3" ht="42" customHeight="1" x14ac:dyDescent="0.3">
      <c r="A12" s="7" t="s">
        <v>124</v>
      </c>
      <c r="B12" s="22" t="s">
        <v>522</v>
      </c>
      <c r="C12" s="9" t="s">
        <v>125</v>
      </c>
    </row>
    <row r="13" spans="1:3" ht="42" customHeight="1" x14ac:dyDescent="0.3">
      <c r="A13" s="7" t="s">
        <v>126</v>
      </c>
      <c r="B13" s="22" t="s">
        <v>523</v>
      </c>
      <c r="C13" s="9" t="s">
        <v>127</v>
      </c>
    </row>
    <row r="14" spans="1:3" ht="42" customHeight="1" x14ac:dyDescent="0.3">
      <c r="A14" s="7" t="s">
        <v>128</v>
      </c>
      <c r="B14" s="22" t="s">
        <v>524</v>
      </c>
      <c r="C14" s="9" t="s">
        <v>129</v>
      </c>
    </row>
    <row r="17" spans="1:3" x14ac:dyDescent="0.3">
      <c r="A17" s="3" t="s">
        <v>130</v>
      </c>
    </row>
    <row r="18" spans="1:3" x14ac:dyDescent="0.3">
      <c r="A18" s="10" t="s">
        <v>131</v>
      </c>
      <c r="B18" s="10" t="s">
        <v>132</v>
      </c>
      <c r="C18" s="10" t="s">
        <v>133</v>
      </c>
    </row>
    <row r="19" spans="1:3" x14ac:dyDescent="0.3">
      <c r="A19" s="12" t="s">
        <v>134</v>
      </c>
      <c r="B19" s="22" t="s">
        <v>435</v>
      </c>
      <c r="C19" s="22" t="s">
        <v>525</v>
      </c>
    </row>
    <row r="20" spans="1:3" ht="26.4" x14ac:dyDescent="0.3">
      <c r="A20" s="12" t="s">
        <v>135</v>
      </c>
      <c r="B20" s="8" t="s">
        <v>435</v>
      </c>
      <c r="C20" s="22" t="s">
        <v>526</v>
      </c>
    </row>
    <row r="21" spans="1:3" x14ac:dyDescent="0.3">
      <c r="A21" s="12" t="s">
        <v>136</v>
      </c>
      <c r="B21" s="8" t="s">
        <v>435</v>
      </c>
      <c r="C21" s="22" t="s">
        <v>527</v>
      </c>
    </row>
    <row r="22" spans="1:3" ht="26.4" x14ac:dyDescent="0.3">
      <c r="A22" s="12" t="s">
        <v>137</v>
      </c>
      <c r="B22" s="8" t="s">
        <v>435</v>
      </c>
      <c r="C22" s="22" t="s">
        <v>528</v>
      </c>
    </row>
    <row r="23" spans="1:3" ht="26.4" x14ac:dyDescent="0.3">
      <c r="A23" s="12" t="s">
        <v>138</v>
      </c>
      <c r="B23" s="8" t="s">
        <v>435</v>
      </c>
      <c r="C23" s="22" t="s">
        <v>530</v>
      </c>
    </row>
    <row r="24" spans="1:3" x14ac:dyDescent="0.3">
      <c r="A24" s="12" t="s">
        <v>139</v>
      </c>
      <c r="B24" s="8" t="s">
        <v>448</v>
      </c>
      <c r="C24" s="22" t="s">
        <v>531</v>
      </c>
    </row>
    <row r="25" spans="1:3" ht="26.4" x14ac:dyDescent="0.3">
      <c r="A25" s="12" t="s">
        <v>140</v>
      </c>
      <c r="B25" s="8" t="s">
        <v>435</v>
      </c>
      <c r="C25" s="22" t="s">
        <v>532</v>
      </c>
    </row>
    <row r="26" spans="1:3" x14ac:dyDescent="0.3">
      <c r="A26" s="12" t="s">
        <v>141</v>
      </c>
      <c r="B26" s="8" t="s">
        <v>448</v>
      </c>
      <c r="C26" s="22" t="s">
        <v>533</v>
      </c>
    </row>
    <row r="27" spans="1:3" ht="26.4" x14ac:dyDescent="0.3">
      <c r="A27" s="12" t="s">
        <v>142</v>
      </c>
      <c r="B27" s="8" t="s">
        <v>435</v>
      </c>
      <c r="C27" s="22" t="s">
        <v>534</v>
      </c>
    </row>
    <row r="28" spans="1:3" ht="26.4" x14ac:dyDescent="0.3">
      <c r="A28" s="12" t="s">
        <v>143</v>
      </c>
      <c r="B28" s="8" t="s">
        <v>435</v>
      </c>
      <c r="C28" s="22" t="s">
        <v>535</v>
      </c>
    </row>
    <row r="29" spans="1:3" ht="26.4" x14ac:dyDescent="0.3">
      <c r="A29" s="12" t="s">
        <v>144</v>
      </c>
      <c r="B29" s="8" t="s">
        <v>435</v>
      </c>
      <c r="C29" s="22" t="s">
        <v>536</v>
      </c>
    </row>
    <row r="30" spans="1:3" ht="26.4" x14ac:dyDescent="0.3">
      <c r="A30" s="12" t="s">
        <v>145</v>
      </c>
      <c r="B30" s="8" t="s">
        <v>435</v>
      </c>
      <c r="C30" s="22" t="s">
        <v>529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400-000000000000}">
          <x14:formula1>
            <xm:f>Listas!$P$2:$P$4</xm:f>
          </x14:formula1>
          <x14:formula2>
            <xm:f>0</xm:f>
          </x14:formula2>
          <xm:sqref>B7</xm:sqref>
        </x14:dataValidation>
        <x14:dataValidation type="list" allowBlank="1" showErrorMessage="1" errorTitle="Valor inválido" error="Escolha um valor da lista." xr:uid="{00000000-0002-0000-0400-000001000000}">
          <x14:formula1>
            <xm:f>Listas!$I$2:$I$3</xm:f>
          </x14:formula1>
          <x14:formula2>
            <xm:f>0</xm:f>
          </x14:formula2>
          <xm:sqref>B19:B30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5"/>
  <sheetViews>
    <sheetView showGridLines="0" zoomScaleNormal="100" workbookViewId="0">
      <pane xSplit="1" ySplit="5" topLeftCell="I12" activePane="bottomRight" state="frozen"/>
      <selection pane="topRight" activeCell="B1" sqref="B1"/>
      <selection pane="bottomLeft" activeCell="A6" sqref="A6"/>
      <selection pane="bottomRight" activeCell="I24" sqref="I24"/>
    </sheetView>
  </sheetViews>
  <sheetFormatPr defaultColWidth="8.6640625" defaultRowHeight="14.4" x14ac:dyDescent="0.3"/>
  <cols>
    <col min="1" max="1" width="9" customWidth="1"/>
    <col min="2" max="2" width="8" customWidth="1"/>
    <col min="3" max="3" width="9" customWidth="1"/>
    <col min="4" max="4" width="20" customWidth="1"/>
    <col min="5" max="5" width="15" customWidth="1"/>
    <col min="6" max="6" width="12" customWidth="1"/>
    <col min="7" max="7" width="34" customWidth="1"/>
    <col min="8" max="8" width="28" customWidth="1"/>
    <col min="9" max="9" width="40" customWidth="1"/>
    <col min="10" max="10" width="24" customWidth="1"/>
    <col min="11" max="12" width="32" customWidth="1"/>
    <col min="13" max="13" width="13" customWidth="1"/>
    <col min="14" max="14" width="12" customWidth="1"/>
    <col min="15" max="15" width="16" customWidth="1"/>
  </cols>
  <sheetData>
    <row r="1" spans="1:15" ht="17.399999999999999" x14ac:dyDescent="0.3">
      <c r="A1" s="1" t="s">
        <v>146</v>
      </c>
    </row>
    <row r="2" spans="1:15" x14ac:dyDescent="0.3">
      <c r="A2" s="2" t="s">
        <v>147</v>
      </c>
    </row>
    <row r="4" spans="1:15" ht="31.5" customHeight="1" x14ac:dyDescent="0.3">
      <c r="A4" s="10" t="s">
        <v>64</v>
      </c>
      <c r="B4" s="10" t="s">
        <v>88</v>
      </c>
      <c r="C4" s="10" t="s">
        <v>148</v>
      </c>
      <c r="D4" s="10" t="s">
        <v>149</v>
      </c>
      <c r="E4" s="10" t="s">
        <v>131</v>
      </c>
      <c r="F4" s="10" t="s">
        <v>150</v>
      </c>
      <c r="G4" s="10" t="s">
        <v>151</v>
      </c>
      <c r="H4" s="10" t="s">
        <v>152</v>
      </c>
      <c r="I4" s="10" t="s">
        <v>153</v>
      </c>
      <c r="J4" s="10" t="s">
        <v>154</v>
      </c>
      <c r="K4" s="10" t="s">
        <v>155</v>
      </c>
      <c r="L4" s="10" t="s">
        <v>156</v>
      </c>
      <c r="M4" s="10" t="s">
        <v>157</v>
      </c>
      <c r="N4" s="10" t="s">
        <v>158</v>
      </c>
      <c r="O4" s="10" t="s">
        <v>159</v>
      </c>
    </row>
    <row r="5" spans="1:15" ht="39.6" x14ac:dyDescent="0.3">
      <c r="A5" s="14" t="s">
        <v>160</v>
      </c>
      <c r="B5" s="14" t="s">
        <v>94</v>
      </c>
      <c r="C5" s="14" t="s">
        <v>161</v>
      </c>
      <c r="D5" s="14" t="s">
        <v>162</v>
      </c>
      <c r="E5" s="14" t="s">
        <v>134</v>
      </c>
      <c r="F5" s="14" t="s">
        <v>163</v>
      </c>
      <c r="G5" s="14" t="s">
        <v>164</v>
      </c>
      <c r="H5" s="14" t="s">
        <v>165</v>
      </c>
      <c r="I5" s="14" t="s">
        <v>166</v>
      </c>
      <c r="J5" s="14" t="s">
        <v>167</v>
      </c>
      <c r="K5" s="14" t="s">
        <v>168</v>
      </c>
      <c r="L5" s="14" t="s">
        <v>169</v>
      </c>
      <c r="M5" s="14" t="s">
        <v>170</v>
      </c>
      <c r="N5" s="14"/>
      <c r="O5" s="14"/>
    </row>
    <row r="6" spans="1:15" ht="26.4" x14ac:dyDescent="0.3">
      <c r="A6" s="7" t="s">
        <v>171</v>
      </c>
      <c r="B6" s="8" t="s">
        <v>433</v>
      </c>
      <c r="C6" s="22" t="s">
        <v>537</v>
      </c>
      <c r="D6" s="8" t="s">
        <v>162</v>
      </c>
      <c r="E6" s="8" t="s">
        <v>134</v>
      </c>
      <c r="F6" s="8" t="s">
        <v>163</v>
      </c>
      <c r="G6" s="22" t="s">
        <v>538</v>
      </c>
      <c r="H6" s="22" t="s">
        <v>539</v>
      </c>
      <c r="I6" s="22" t="s">
        <v>540</v>
      </c>
      <c r="J6" s="22" t="s">
        <v>541</v>
      </c>
      <c r="K6" s="22" t="s">
        <v>542</v>
      </c>
      <c r="L6" s="22" t="s">
        <v>543</v>
      </c>
      <c r="M6" s="8" t="s">
        <v>170</v>
      </c>
      <c r="N6" s="8"/>
      <c r="O6" s="8" t="s">
        <v>637</v>
      </c>
    </row>
    <row r="7" spans="1:15" ht="26.4" x14ac:dyDescent="0.3">
      <c r="A7" s="7" t="s">
        <v>172</v>
      </c>
      <c r="B7" s="8" t="s">
        <v>443</v>
      </c>
      <c r="C7" s="22" t="s">
        <v>544</v>
      </c>
      <c r="D7" s="8" t="s">
        <v>162</v>
      </c>
      <c r="E7" s="8" t="s">
        <v>134</v>
      </c>
      <c r="F7" s="8" t="s">
        <v>163</v>
      </c>
      <c r="G7" s="22" t="s">
        <v>545</v>
      </c>
      <c r="H7" s="8" t="s">
        <v>539</v>
      </c>
      <c r="I7" s="8" t="s">
        <v>546</v>
      </c>
      <c r="J7" s="8" t="s">
        <v>547</v>
      </c>
      <c r="K7" s="8" t="s">
        <v>548</v>
      </c>
      <c r="L7" s="8" t="s">
        <v>623</v>
      </c>
      <c r="M7" s="8" t="s">
        <v>170</v>
      </c>
      <c r="N7" s="8"/>
      <c r="O7" s="8" t="s">
        <v>638</v>
      </c>
    </row>
    <row r="8" spans="1:15" ht="26.4" x14ac:dyDescent="0.3">
      <c r="A8" s="7" t="s">
        <v>173</v>
      </c>
      <c r="B8" s="8" t="s">
        <v>443</v>
      </c>
      <c r="C8" s="8" t="s">
        <v>549</v>
      </c>
      <c r="D8" s="8" t="s">
        <v>162</v>
      </c>
      <c r="E8" s="8" t="s">
        <v>134</v>
      </c>
      <c r="F8" s="8" t="s">
        <v>163</v>
      </c>
      <c r="G8" s="8" t="s">
        <v>550</v>
      </c>
      <c r="H8" s="8" t="s">
        <v>539</v>
      </c>
      <c r="I8" s="8" t="s">
        <v>551</v>
      </c>
      <c r="J8" s="8" t="s">
        <v>552</v>
      </c>
      <c r="K8" s="8" t="s">
        <v>553</v>
      </c>
      <c r="L8" s="8" t="s">
        <v>624</v>
      </c>
      <c r="M8" s="8" t="s">
        <v>170</v>
      </c>
      <c r="N8" s="8"/>
      <c r="O8" s="8" t="s">
        <v>639</v>
      </c>
    </row>
    <row r="9" spans="1:15" ht="26.4" x14ac:dyDescent="0.3">
      <c r="A9" s="7" t="s">
        <v>174</v>
      </c>
      <c r="B9" s="8" t="s">
        <v>454</v>
      </c>
      <c r="C9" s="8" t="s">
        <v>554</v>
      </c>
      <c r="D9" s="8" t="s">
        <v>162</v>
      </c>
      <c r="E9" s="8" t="s">
        <v>134</v>
      </c>
      <c r="F9" s="8" t="s">
        <v>163</v>
      </c>
      <c r="G9" s="8" t="s">
        <v>555</v>
      </c>
      <c r="H9" s="8" t="s">
        <v>556</v>
      </c>
      <c r="I9" s="8" t="s">
        <v>557</v>
      </c>
      <c r="J9" s="8" t="s">
        <v>558</v>
      </c>
      <c r="K9" s="8" t="s">
        <v>559</v>
      </c>
      <c r="L9" s="8" t="s">
        <v>625</v>
      </c>
      <c r="M9" s="8" t="s">
        <v>170</v>
      </c>
      <c r="N9" s="8"/>
      <c r="O9" s="8" t="s">
        <v>640</v>
      </c>
    </row>
    <row r="10" spans="1:15" ht="26.4" x14ac:dyDescent="0.3">
      <c r="A10" s="7" t="s">
        <v>175</v>
      </c>
      <c r="B10" s="8" t="s">
        <v>462</v>
      </c>
      <c r="C10" s="8" t="s">
        <v>560</v>
      </c>
      <c r="D10" s="8" t="s">
        <v>162</v>
      </c>
      <c r="E10" s="8" t="s">
        <v>134</v>
      </c>
      <c r="F10" s="8" t="s">
        <v>163</v>
      </c>
      <c r="G10" s="8" t="s">
        <v>561</v>
      </c>
      <c r="H10" s="8" t="s">
        <v>562</v>
      </c>
      <c r="I10" s="8" t="s">
        <v>563</v>
      </c>
      <c r="J10" s="8" t="s">
        <v>564</v>
      </c>
      <c r="K10" s="8" t="s">
        <v>565</v>
      </c>
      <c r="L10" s="8" t="s">
        <v>626</v>
      </c>
      <c r="M10" s="8" t="s">
        <v>170</v>
      </c>
      <c r="N10" s="8"/>
      <c r="O10" s="8" t="s">
        <v>641</v>
      </c>
    </row>
    <row r="11" spans="1:15" ht="26.4" x14ac:dyDescent="0.3">
      <c r="A11" s="7" t="s">
        <v>176</v>
      </c>
      <c r="B11" s="8" t="s">
        <v>469</v>
      </c>
      <c r="C11" s="8" t="s">
        <v>566</v>
      </c>
      <c r="D11" s="8" t="s">
        <v>162</v>
      </c>
      <c r="E11" s="8" t="s">
        <v>134</v>
      </c>
      <c r="F11" s="8" t="s">
        <v>163</v>
      </c>
      <c r="G11" s="8" t="s">
        <v>567</v>
      </c>
      <c r="H11" s="8" t="s">
        <v>568</v>
      </c>
      <c r="I11" s="8" t="s">
        <v>569</v>
      </c>
      <c r="J11" s="8" t="s">
        <v>570</v>
      </c>
      <c r="K11" s="8" t="s">
        <v>571</v>
      </c>
      <c r="L11" s="8" t="s">
        <v>627</v>
      </c>
      <c r="M11" s="8" t="s">
        <v>170</v>
      </c>
      <c r="N11" s="8"/>
      <c r="O11" s="8" t="s">
        <v>642</v>
      </c>
    </row>
    <row r="12" spans="1:15" ht="26.4" x14ac:dyDescent="0.3">
      <c r="A12" s="7" t="s">
        <v>177</v>
      </c>
      <c r="B12" s="8" t="s">
        <v>472</v>
      </c>
      <c r="C12" s="8" t="s">
        <v>572</v>
      </c>
      <c r="D12" s="8" t="s">
        <v>162</v>
      </c>
      <c r="E12" s="8" t="s">
        <v>134</v>
      </c>
      <c r="F12" s="8" t="s">
        <v>163</v>
      </c>
      <c r="G12" s="8" t="s">
        <v>573</v>
      </c>
      <c r="H12" s="8" t="s">
        <v>574</v>
      </c>
      <c r="I12" s="8" t="s">
        <v>575</v>
      </c>
      <c r="J12" s="8" t="s">
        <v>576</v>
      </c>
      <c r="K12" s="8" t="s">
        <v>577</v>
      </c>
      <c r="L12" s="8" t="s">
        <v>628</v>
      </c>
      <c r="M12" s="8" t="s">
        <v>170</v>
      </c>
      <c r="N12" s="8"/>
      <c r="O12" s="8" t="s">
        <v>643</v>
      </c>
    </row>
    <row r="13" spans="1:15" ht="26.4" x14ac:dyDescent="0.3">
      <c r="A13" s="7" t="s">
        <v>178</v>
      </c>
      <c r="B13" s="8" t="s">
        <v>476</v>
      </c>
      <c r="C13" s="8" t="s">
        <v>578</v>
      </c>
      <c r="D13" s="8" t="s">
        <v>162</v>
      </c>
      <c r="E13" s="8" t="s">
        <v>134</v>
      </c>
      <c r="F13" s="8" t="s">
        <v>163</v>
      </c>
      <c r="G13" s="8" t="s">
        <v>579</v>
      </c>
      <c r="H13" s="8" t="s">
        <v>580</v>
      </c>
      <c r="I13" s="8" t="s">
        <v>581</v>
      </c>
      <c r="J13" s="8" t="s">
        <v>582</v>
      </c>
      <c r="K13" s="8" t="s">
        <v>583</v>
      </c>
      <c r="L13" s="8" t="s">
        <v>629</v>
      </c>
      <c r="M13" s="8" t="s">
        <v>170</v>
      </c>
      <c r="N13" s="8"/>
      <c r="O13" s="8" t="s">
        <v>644</v>
      </c>
    </row>
    <row r="14" spans="1:15" ht="26.4" x14ac:dyDescent="0.3">
      <c r="A14" s="7" t="s">
        <v>179</v>
      </c>
      <c r="B14" s="8" t="s">
        <v>476</v>
      </c>
      <c r="C14" s="8" t="s">
        <v>584</v>
      </c>
      <c r="D14" s="8" t="s">
        <v>162</v>
      </c>
      <c r="E14" s="8" t="s">
        <v>134</v>
      </c>
      <c r="F14" s="8" t="s">
        <v>163</v>
      </c>
      <c r="G14" s="8" t="s">
        <v>585</v>
      </c>
      <c r="H14" s="8" t="s">
        <v>586</v>
      </c>
      <c r="I14" s="8" t="s">
        <v>587</v>
      </c>
      <c r="J14" s="8" t="s">
        <v>588</v>
      </c>
      <c r="K14" s="8" t="s">
        <v>589</v>
      </c>
      <c r="L14" s="8" t="s">
        <v>630</v>
      </c>
      <c r="M14" s="8" t="s">
        <v>170</v>
      </c>
      <c r="N14" s="8"/>
      <c r="O14" s="8" t="s">
        <v>645</v>
      </c>
    </row>
    <row r="15" spans="1:15" ht="26.4" x14ac:dyDescent="0.3">
      <c r="A15" s="7" t="s">
        <v>180</v>
      </c>
      <c r="B15" s="8" t="s">
        <v>480</v>
      </c>
      <c r="C15" s="8" t="s">
        <v>590</v>
      </c>
      <c r="D15" s="8" t="s">
        <v>162</v>
      </c>
      <c r="E15" s="8" t="s">
        <v>134</v>
      </c>
      <c r="F15" s="8" t="s">
        <v>163</v>
      </c>
      <c r="G15" s="8" t="s">
        <v>591</v>
      </c>
      <c r="H15" s="8" t="s">
        <v>592</v>
      </c>
      <c r="I15" s="8" t="s">
        <v>593</v>
      </c>
      <c r="J15" s="8" t="s">
        <v>594</v>
      </c>
      <c r="K15" s="8" t="s">
        <v>595</v>
      </c>
      <c r="L15" s="8" t="s">
        <v>631</v>
      </c>
      <c r="M15" s="8" t="s">
        <v>170</v>
      </c>
      <c r="N15" s="8"/>
      <c r="O15" s="8" t="s">
        <v>646</v>
      </c>
    </row>
    <row r="16" spans="1:15" ht="26.4" x14ac:dyDescent="0.3">
      <c r="A16" s="7" t="s">
        <v>181</v>
      </c>
      <c r="B16" s="8" t="s">
        <v>433</v>
      </c>
      <c r="C16" s="8" t="s">
        <v>596</v>
      </c>
      <c r="D16" s="8" t="s">
        <v>444</v>
      </c>
      <c r="E16" s="8" t="s">
        <v>134</v>
      </c>
      <c r="F16" s="8" t="s">
        <v>163</v>
      </c>
      <c r="G16" s="8" t="s">
        <v>597</v>
      </c>
      <c r="H16" s="8" t="s">
        <v>598</v>
      </c>
      <c r="I16" s="8" t="s">
        <v>599</v>
      </c>
      <c r="J16" s="8" t="s">
        <v>600</v>
      </c>
      <c r="K16" s="8" t="s">
        <v>601</v>
      </c>
      <c r="L16" s="8" t="s">
        <v>632</v>
      </c>
      <c r="M16" s="8" t="s">
        <v>170</v>
      </c>
      <c r="N16" s="8"/>
      <c r="O16" s="8" t="s">
        <v>647</v>
      </c>
    </row>
    <row r="17" spans="1:15" ht="26.4" x14ac:dyDescent="0.3">
      <c r="A17" s="7" t="s">
        <v>182</v>
      </c>
      <c r="B17" s="8" t="s">
        <v>433</v>
      </c>
      <c r="C17" s="8" t="s">
        <v>602</v>
      </c>
      <c r="D17" s="8" t="s">
        <v>444</v>
      </c>
      <c r="E17" s="8" t="s">
        <v>134</v>
      </c>
      <c r="F17" s="8" t="s">
        <v>163</v>
      </c>
      <c r="G17" s="8" t="s">
        <v>603</v>
      </c>
      <c r="H17" s="8" t="s">
        <v>598</v>
      </c>
      <c r="I17" s="8" t="s">
        <v>604</v>
      </c>
      <c r="J17" s="8" t="s">
        <v>605</v>
      </c>
      <c r="K17" s="8" t="s">
        <v>606</v>
      </c>
      <c r="L17" s="8" t="s">
        <v>633</v>
      </c>
      <c r="M17" s="8" t="s">
        <v>170</v>
      </c>
      <c r="N17" s="8"/>
      <c r="O17" s="8" t="s">
        <v>648</v>
      </c>
    </row>
    <row r="18" spans="1:15" ht="26.4" x14ac:dyDescent="0.3">
      <c r="A18" s="7" t="s">
        <v>183</v>
      </c>
      <c r="B18" s="8" t="s">
        <v>482</v>
      </c>
      <c r="C18" s="8" t="s">
        <v>607</v>
      </c>
      <c r="D18" s="8" t="s">
        <v>444</v>
      </c>
      <c r="E18" s="8" t="s">
        <v>134</v>
      </c>
      <c r="F18" s="8" t="s">
        <v>163</v>
      </c>
      <c r="G18" s="8" t="s">
        <v>608</v>
      </c>
      <c r="H18" s="8" t="s">
        <v>609</v>
      </c>
      <c r="I18" s="8" t="s">
        <v>610</v>
      </c>
      <c r="J18" s="8" t="s">
        <v>611</v>
      </c>
      <c r="K18" s="8" t="s">
        <v>612</v>
      </c>
      <c r="L18" s="8" t="s">
        <v>634</v>
      </c>
      <c r="M18" s="8" t="s">
        <v>170</v>
      </c>
      <c r="N18" s="8"/>
      <c r="O18" s="8" t="s">
        <v>649</v>
      </c>
    </row>
    <row r="19" spans="1:15" ht="26.4" x14ac:dyDescent="0.3">
      <c r="A19" s="7" t="s">
        <v>184</v>
      </c>
      <c r="B19" s="8" t="s">
        <v>222</v>
      </c>
      <c r="C19" s="8" t="s">
        <v>613</v>
      </c>
      <c r="D19" s="8" t="s">
        <v>444</v>
      </c>
      <c r="E19" s="8" t="s">
        <v>134</v>
      </c>
      <c r="F19" s="8" t="s">
        <v>163</v>
      </c>
      <c r="G19" s="8" t="s">
        <v>614</v>
      </c>
      <c r="H19" s="8" t="s">
        <v>609</v>
      </c>
      <c r="I19" s="8" t="s">
        <v>615</v>
      </c>
      <c r="J19" s="8" t="s">
        <v>616</v>
      </c>
      <c r="K19" s="8" t="s">
        <v>617</v>
      </c>
      <c r="L19" s="8" t="s">
        <v>635</v>
      </c>
      <c r="M19" s="8" t="s">
        <v>170</v>
      </c>
      <c r="N19" s="8"/>
      <c r="O19" s="8" t="s">
        <v>650</v>
      </c>
    </row>
    <row r="20" spans="1:15" ht="26.4" x14ac:dyDescent="0.3">
      <c r="A20" s="7" t="s">
        <v>185</v>
      </c>
      <c r="B20" s="8" t="s">
        <v>222</v>
      </c>
      <c r="C20" s="8" t="s">
        <v>618</v>
      </c>
      <c r="D20" s="8" t="s">
        <v>444</v>
      </c>
      <c r="E20" s="8" t="s">
        <v>134</v>
      </c>
      <c r="F20" s="8" t="s">
        <v>163</v>
      </c>
      <c r="G20" s="8" t="s">
        <v>619</v>
      </c>
      <c r="H20" s="8" t="s">
        <v>609</v>
      </c>
      <c r="I20" s="8" t="s">
        <v>620</v>
      </c>
      <c r="J20" s="8" t="s">
        <v>621</v>
      </c>
      <c r="K20" s="8" t="s">
        <v>622</v>
      </c>
      <c r="L20" s="8" t="s">
        <v>636</v>
      </c>
      <c r="M20" s="8" t="s">
        <v>170</v>
      </c>
      <c r="N20" s="8"/>
      <c r="O20" s="8" t="s">
        <v>651</v>
      </c>
    </row>
    <row r="21" spans="1:15" x14ac:dyDescent="0.3">
      <c r="A21" s="7" t="s">
        <v>186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7" t="s">
        <v>187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7" t="s">
        <v>188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7" t="s">
        <v>189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7" t="s">
        <v>190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7" t="s">
        <v>191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7" t="s">
        <v>192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7" t="s">
        <v>193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7" t="s">
        <v>194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7" t="s">
        <v>195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7" t="s">
        <v>196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7" t="s">
        <v>197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7" t="s">
        <v>198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7" t="s">
        <v>199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7" t="s">
        <v>200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3">
      <c r="A36" s="7" t="s">
        <v>201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7" t="s">
        <v>202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7" t="s">
        <v>203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7" t="s">
        <v>204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">
      <c r="A40" s="7" t="s">
        <v>205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">
      <c r="A41" s="7" t="s">
        <v>206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7" t="s">
        <v>207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">
      <c r="A43" s="7" t="s">
        <v>208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7" t="s">
        <v>209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">
      <c r="A45" s="7" t="s">
        <v>210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Valor inválido" error="Escolha um valor da lista." xr:uid="{00000000-0002-0000-0500-000000000000}">
          <x14:formula1>
            <xm:f>Listas!$A$2:$A$22</xm:f>
          </x14:formula1>
          <x14:formula2>
            <xm:f>0</xm:f>
          </x14:formula2>
          <xm:sqref>B6:B45</xm:sqref>
        </x14:dataValidation>
        <x14:dataValidation type="list" allowBlank="1" showErrorMessage="1" errorTitle="Valor inválido" error="Escolha um valor da lista." xr:uid="{00000000-0002-0000-0500-000001000000}">
          <x14:formula1>
            <xm:f>Listas!$B$2:$B$9</xm:f>
          </x14:formula1>
          <x14:formula2>
            <xm:f>0</xm:f>
          </x14:formula2>
          <xm:sqref>D6:D45</xm:sqref>
        </x14:dataValidation>
        <x14:dataValidation type="list" allowBlank="1" showErrorMessage="1" errorTitle="Valor inválido" error="Escolha um valor da lista." xr:uid="{00000000-0002-0000-0500-000002000000}">
          <x14:formula1>
            <xm:f>Listas!$C$2:$C$15</xm:f>
          </x14:formula1>
          <x14:formula2>
            <xm:f>0</xm:f>
          </x14:formula2>
          <xm:sqref>E6:E45</xm:sqref>
        </x14:dataValidation>
        <x14:dataValidation type="list" allowBlank="1" showErrorMessage="1" errorTitle="Valor inválido" error="Escolha um valor da lista." xr:uid="{00000000-0002-0000-0500-000003000000}">
          <x14:formula1>
            <xm:f>Listas!$D$2:$D$5</xm:f>
          </x14:formula1>
          <x14:formula2>
            <xm:f>0</xm:f>
          </x14:formula2>
          <xm:sqref>F6:F45</xm:sqref>
        </x14:dataValidation>
        <x14:dataValidation type="list" allowBlank="1" showErrorMessage="1" errorTitle="Valor inválido" error="Escolha um valor da lista." xr:uid="{00000000-0002-0000-0500-000004000000}">
          <x14:formula1>
            <xm:f>Listas!$E$2:$E$5</xm:f>
          </x14:formula1>
          <x14:formula2>
            <xm:f>0</xm:f>
          </x14:formula2>
          <xm:sqref>M6:M45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5"/>
  <sheetViews>
    <sheetView showGridLines="0" zoomScale="70" zoomScaleNormal="70" workbookViewId="0">
      <pane xSplit="1" ySplit="5" topLeftCell="G6" activePane="bottomRight" state="frozen"/>
      <selection pane="topRight" activeCell="B1" sqref="B1"/>
      <selection pane="bottomLeft" activeCell="A6" sqref="A6"/>
      <selection pane="bottomRight" activeCell="M11" sqref="M11"/>
    </sheetView>
  </sheetViews>
  <sheetFormatPr defaultColWidth="8.6640625" defaultRowHeight="14.4" x14ac:dyDescent="0.3"/>
  <cols>
    <col min="1" max="1" width="9" customWidth="1"/>
    <col min="2" max="2" width="34" customWidth="1"/>
    <col min="3" max="3" width="10" customWidth="1"/>
    <col min="4" max="4" width="9" customWidth="1"/>
    <col min="5" max="5" width="11" customWidth="1"/>
    <col min="6" max="6" width="15" customWidth="1"/>
    <col min="7" max="8" width="11" customWidth="1"/>
    <col min="9" max="9" width="44" customWidth="1"/>
    <col min="10" max="10" width="24" customWidth="1"/>
    <col min="11" max="12" width="32" customWidth="1"/>
    <col min="13" max="13" width="16" customWidth="1"/>
    <col min="14" max="14" width="18" customWidth="1"/>
    <col min="15" max="15" width="9" customWidth="1"/>
  </cols>
  <sheetData>
    <row r="1" spans="1:15" ht="17.399999999999999" x14ac:dyDescent="0.3">
      <c r="A1" s="1" t="s">
        <v>211</v>
      </c>
    </row>
    <row r="2" spans="1:15" x14ac:dyDescent="0.3">
      <c r="A2" s="2" t="s">
        <v>212</v>
      </c>
    </row>
    <row r="4" spans="1:15" ht="31.5" customHeight="1" x14ac:dyDescent="0.3">
      <c r="A4" s="10" t="s">
        <v>64</v>
      </c>
      <c r="B4" s="10" t="s">
        <v>151</v>
      </c>
      <c r="C4" s="10" t="s">
        <v>213</v>
      </c>
      <c r="D4" s="10" t="s">
        <v>148</v>
      </c>
      <c r="E4" s="10" t="s">
        <v>214</v>
      </c>
      <c r="F4" s="10" t="s">
        <v>131</v>
      </c>
      <c r="G4" s="10" t="s">
        <v>38</v>
      </c>
      <c r="H4" s="10" t="s">
        <v>215</v>
      </c>
      <c r="I4" s="10" t="s">
        <v>216</v>
      </c>
      <c r="J4" s="10" t="s">
        <v>217</v>
      </c>
      <c r="K4" s="10" t="s">
        <v>155</v>
      </c>
      <c r="L4" s="10" t="s">
        <v>156</v>
      </c>
      <c r="M4" s="10" t="s">
        <v>159</v>
      </c>
      <c r="N4" s="10" t="s">
        <v>218</v>
      </c>
      <c r="O4" s="10" t="s">
        <v>219</v>
      </c>
    </row>
    <row r="5" spans="1:15" ht="39.6" x14ac:dyDescent="0.3">
      <c r="A5" s="14" t="s">
        <v>220</v>
      </c>
      <c r="B5" s="14" t="s">
        <v>221</v>
      </c>
      <c r="C5" s="14" t="s">
        <v>222</v>
      </c>
      <c r="D5" s="14" t="s">
        <v>223</v>
      </c>
      <c r="E5" s="14" t="s">
        <v>160</v>
      </c>
      <c r="F5" s="14" t="s">
        <v>134</v>
      </c>
      <c r="G5" s="14" t="s">
        <v>45</v>
      </c>
      <c r="H5" s="14" t="s">
        <v>43</v>
      </c>
      <c r="I5" s="14" t="s">
        <v>224</v>
      </c>
      <c r="J5" s="14" t="s">
        <v>225</v>
      </c>
      <c r="K5" s="14" t="s">
        <v>226</v>
      </c>
      <c r="L5" s="14" t="s">
        <v>227</v>
      </c>
      <c r="M5" s="14" t="s">
        <v>228</v>
      </c>
      <c r="N5" s="14" t="s">
        <v>229</v>
      </c>
      <c r="O5" s="14" t="s">
        <v>230</v>
      </c>
    </row>
    <row r="6" spans="1:15" ht="39.6" x14ac:dyDescent="0.3">
      <c r="A6" s="7" t="s">
        <v>231</v>
      </c>
      <c r="B6" s="8" t="s">
        <v>652</v>
      </c>
      <c r="C6" s="8" t="s">
        <v>454</v>
      </c>
      <c r="D6" s="8" t="s">
        <v>554</v>
      </c>
      <c r="E6" s="8" t="s">
        <v>174</v>
      </c>
      <c r="F6" s="8" t="s">
        <v>134</v>
      </c>
      <c r="G6" s="8" t="s">
        <v>41</v>
      </c>
      <c r="H6" s="8" t="s">
        <v>41</v>
      </c>
      <c r="I6" s="8" t="s">
        <v>653</v>
      </c>
      <c r="J6" s="8" t="s">
        <v>654</v>
      </c>
      <c r="K6" s="8" t="s">
        <v>655</v>
      </c>
      <c r="L6" s="8" t="s">
        <v>656</v>
      </c>
      <c r="M6" s="8" t="s">
        <v>681</v>
      </c>
      <c r="N6" s="8" t="s">
        <v>229</v>
      </c>
      <c r="O6" s="8" t="s">
        <v>230</v>
      </c>
    </row>
    <row r="7" spans="1:15" ht="26.4" x14ac:dyDescent="0.3">
      <c r="A7" s="7" t="s">
        <v>232</v>
      </c>
      <c r="B7" s="8" t="s">
        <v>657</v>
      </c>
      <c r="C7" s="8" t="s">
        <v>443</v>
      </c>
      <c r="D7" s="8" t="s">
        <v>549</v>
      </c>
      <c r="E7" s="8" t="s">
        <v>173</v>
      </c>
      <c r="F7" s="8" t="s">
        <v>134</v>
      </c>
      <c r="G7" s="8" t="s">
        <v>43</v>
      </c>
      <c r="H7" s="8" t="s">
        <v>43</v>
      </c>
      <c r="I7" s="8" t="s">
        <v>658</v>
      </c>
      <c r="J7" s="8" t="s">
        <v>659</v>
      </c>
      <c r="K7" s="8" t="s">
        <v>660</v>
      </c>
      <c r="L7" s="8" t="s">
        <v>661</v>
      </c>
      <c r="M7" s="8" t="s">
        <v>682</v>
      </c>
      <c r="N7" s="8" t="s">
        <v>229</v>
      </c>
      <c r="O7" s="8" t="s">
        <v>230</v>
      </c>
    </row>
    <row r="8" spans="1:15" ht="26.4" x14ac:dyDescent="0.3">
      <c r="A8" s="7" t="s">
        <v>233</v>
      </c>
      <c r="B8" s="8" t="s">
        <v>662</v>
      </c>
      <c r="C8" s="8" t="s">
        <v>462</v>
      </c>
      <c r="D8" s="8" t="s">
        <v>560</v>
      </c>
      <c r="E8" s="8" t="s">
        <v>175</v>
      </c>
      <c r="F8" s="8" t="s">
        <v>134</v>
      </c>
      <c r="G8" s="8" t="s">
        <v>39</v>
      </c>
      <c r="H8" s="8" t="s">
        <v>41</v>
      </c>
      <c r="I8" s="8" t="s">
        <v>663</v>
      </c>
      <c r="J8" s="8" t="s">
        <v>664</v>
      </c>
      <c r="K8" s="8" t="s">
        <v>665</v>
      </c>
      <c r="L8" s="8" t="s">
        <v>666</v>
      </c>
      <c r="M8" s="8" t="s">
        <v>683</v>
      </c>
      <c r="N8" s="8" t="s">
        <v>229</v>
      </c>
      <c r="O8" s="8" t="s">
        <v>230</v>
      </c>
    </row>
    <row r="9" spans="1:15" ht="26.4" x14ac:dyDescent="0.3">
      <c r="A9" s="7" t="s">
        <v>234</v>
      </c>
      <c r="B9" s="8" t="s">
        <v>667</v>
      </c>
      <c r="C9" s="8" t="s">
        <v>476</v>
      </c>
      <c r="D9" s="8" t="s">
        <v>584</v>
      </c>
      <c r="E9" s="8" t="s">
        <v>179</v>
      </c>
      <c r="F9" s="8" t="s">
        <v>134</v>
      </c>
      <c r="G9" s="8" t="s">
        <v>43</v>
      </c>
      <c r="H9" s="8" t="s">
        <v>43</v>
      </c>
      <c r="I9" s="8" t="s">
        <v>668</v>
      </c>
      <c r="J9" s="8" t="s">
        <v>669</v>
      </c>
      <c r="K9" s="8" t="s">
        <v>670</v>
      </c>
      <c r="L9" s="8" t="s">
        <v>671</v>
      </c>
      <c r="M9" s="8" t="s">
        <v>684</v>
      </c>
      <c r="N9" s="8" t="s">
        <v>229</v>
      </c>
      <c r="O9" s="8" t="s">
        <v>230</v>
      </c>
    </row>
    <row r="10" spans="1:15" ht="26.4" x14ac:dyDescent="0.3">
      <c r="A10" s="7" t="s">
        <v>235</v>
      </c>
      <c r="B10" s="8" t="s">
        <v>672</v>
      </c>
      <c r="C10" s="8" t="s">
        <v>222</v>
      </c>
      <c r="D10" s="8" t="s">
        <v>618</v>
      </c>
      <c r="E10" s="8" t="s">
        <v>185</v>
      </c>
      <c r="F10" s="8" t="s">
        <v>140</v>
      </c>
      <c r="G10" s="8" t="s">
        <v>45</v>
      </c>
      <c r="H10" s="8" t="s">
        <v>45</v>
      </c>
      <c r="I10" s="8" t="s">
        <v>673</v>
      </c>
      <c r="J10" s="8" t="s">
        <v>621</v>
      </c>
      <c r="K10" s="8" t="s">
        <v>674</v>
      </c>
      <c r="L10" s="8" t="s">
        <v>675</v>
      </c>
      <c r="M10" s="8" t="s">
        <v>685</v>
      </c>
      <c r="N10" s="8" t="s">
        <v>229</v>
      </c>
      <c r="O10" s="8" t="s">
        <v>230</v>
      </c>
    </row>
    <row r="11" spans="1:15" ht="39.6" x14ac:dyDescent="0.3">
      <c r="A11" s="7" t="s">
        <v>236</v>
      </c>
      <c r="B11" s="8" t="s">
        <v>676</v>
      </c>
      <c r="C11" s="8" t="s">
        <v>480</v>
      </c>
      <c r="D11" s="8" t="s">
        <v>590</v>
      </c>
      <c r="E11" s="8" t="s">
        <v>180</v>
      </c>
      <c r="F11" s="8" t="s">
        <v>144</v>
      </c>
      <c r="G11" s="8" t="s">
        <v>45</v>
      </c>
      <c r="H11" s="8" t="s">
        <v>45</v>
      </c>
      <c r="I11" s="8" t="s">
        <v>677</v>
      </c>
      <c r="J11" s="8" t="s">
        <v>678</v>
      </c>
      <c r="K11" s="8" t="s">
        <v>679</v>
      </c>
      <c r="L11" s="8" t="s">
        <v>680</v>
      </c>
      <c r="M11" s="8" t="s">
        <v>686</v>
      </c>
      <c r="N11" s="8" t="s">
        <v>229</v>
      </c>
      <c r="O11" s="8" t="s">
        <v>230</v>
      </c>
    </row>
    <row r="12" spans="1:15" x14ac:dyDescent="0.3">
      <c r="A12" s="7" t="s">
        <v>237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7" t="s">
        <v>238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7" t="s">
        <v>239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7" t="s">
        <v>240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7" t="s">
        <v>241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7" t="s">
        <v>242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7" t="s">
        <v>243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7" t="s">
        <v>244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7" t="s">
        <v>245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7" t="s">
        <v>246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7" t="s">
        <v>247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7" t="s">
        <v>248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7" t="s">
        <v>249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7" t="s">
        <v>250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7" t="s">
        <v>251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7" t="s">
        <v>252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7" t="s">
        <v>253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7" t="s">
        <v>254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7" t="s">
        <v>255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7" t="s">
        <v>256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7" t="s">
        <v>257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7" t="s">
        <v>258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7" t="s">
        <v>259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7" t="s">
        <v>260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inválido" error="Escolha um valor da lista." xr:uid="{00000000-0002-0000-0600-000000000000}">
          <x14:formula1>
            <xm:f>Listas!$A$2:$A$22</xm:f>
          </x14:formula1>
          <x14:formula2>
            <xm:f>0</xm:f>
          </x14:formula2>
          <xm:sqref>C6:C35</xm:sqref>
        </x14:dataValidation>
        <x14:dataValidation type="list" allowBlank="1" showErrorMessage="1" errorTitle="Valor inválido" error="Escolha um valor da lista." xr:uid="{00000000-0002-0000-0600-000001000000}">
          <x14:formula1>
            <xm:f>Listas!$C$2:$C$15</xm:f>
          </x14:formula1>
          <x14:formula2>
            <xm:f>0</xm:f>
          </x14:formula2>
          <xm:sqref>F6:F35</xm:sqref>
        </x14:dataValidation>
        <x14:dataValidation type="list" allowBlank="1" showErrorMessage="1" errorTitle="Valor inválido" error="Escolha um valor da lista." xr:uid="{00000000-0002-0000-0600-000002000000}">
          <x14:formula1>
            <xm:f>Listas!$F$2:$F$5</xm:f>
          </x14:formula1>
          <x14:formula2>
            <xm:f>0</xm:f>
          </x14:formula2>
          <xm:sqref>G6:G35</xm:sqref>
        </x14:dataValidation>
        <x14:dataValidation type="list" allowBlank="1" showErrorMessage="1" errorTitle="Valor inválido" error="Escolha um valor da lista." xr:uid="{00000000-0002-0000-0600-000003000000}">
          <x14:formula1>
            <xm:f>Listas!$G$2:$G$4</xm:f>
          </x14:formula1>
          <x14:formula2>
            <xm:f>0</xm:f>
          </x14:formula2>
          <xm:sqref>H6:H35</xm:sqref>
        </x14:dataValidation>
        <x14:dataValidation type="list" allowBlank="1" showErrorMessage="1" errorTitle="Valor inválido" error="Escolha um valor da lista." xr:uid="{00000000-0002-0000-0600-000004000000}">
          <x14:formula1>
            <xm:f>Listas!$H$2:$H$5</xm:f>
          </x14:formula1>
          <x14:formula2>
            <xm:f>0</xm:f>
          </x14:formula2>
          <xm:sqref>N6:N35</xm:sqref>
        </x14:dataValidation>
        <x14:dataValidation type="list" allowBlank="1" showErrorMessage="1" errorTitle="Valor inválido" error="Escolha um valor da lista." xr:uid="{00000000-0002-0000-0600-000005000000}">
          <x14:formula1>
            <xm:f>Listas!$N$2:$N$8</xm:f>
          </x14:formula1>
          <x14:formula2>
            <xm:f>0</xm:f>
          </x14:formula2>
          <xm:sqref>O6:O35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2" sqref="M12"/>
    </sheetView>
  </sheetViews>
  <sheetFormatPr defaultColWidth="8.6640625" defaultRowHeight="14.4" x14ac:dyDescent="0.3"/>
  <cols>
    <col min="1" max="1" width="9" customWidth="1"/>
    <col min="2" max="2" width="16" customWidth="1"/>
    <col min="3" max="3" width="8" customWidth="1"/>
    <col min="4" max="4" width="32" customWidth="1"/>
    <col min="5" max="5" width="46" customWidth="1"/>
    <col min="6" max="6" width="20" customWidth="1"/>
    <col min="7" max="7" width="28" customWidth="1"/>
    <col min="8" max="8" width="13" customWidth="1"/>
    <col min="9" max="9" width="12" customWidth="1"/>
    <col min="10" max="10" width="16" customWidth="1"/>
  </cols>
  <sheetData>
    <row r="1" spans="1:10" ht="17.399999999999999" x14ac:dyDescent="0.3">
      <c r="A1" s="1" t="s">
        <v>261</v>
      </c>
    </row>
    <row r="2" spans="1:10" x14ac:dyDescent="0.3">
      <c r="A2" s="2" t="s">
        <v>262</v>
      </c>
    </row>
    <row r="4" spans="1:10" ht="31.5" customHeight="1" x14ac:dyDescent="0.3">
      <c r="A4" s="10" t="s">
        <v>64</v>
      </c>
      <c r="B4" s="10" t="s">
        <v>131</v>
      </c>
      <c r="C4" s="10" t="s">
        <v>88</v>
      </c>
      <c r="D4" s="10" t="s">
        <v>263</v>
      </c>
      <c r="E4" s="10" t="s">
        <v>264</v>
      </c>
      <c r="F4" s="10" t="s">
        <v>265</v>
      </c>
      <c r="G4" s="10" t="s">
        <v>266</v>
      </c>
      <c r="H4" s="10" t="s">
        <v>157</v>
      </c>
      <c r="I4" s="10" t="s">
        <v>158</v>
      </c>
      <c r="J4" s="10" t="s">
        <v>159</v>
      </c>
    </row>
    <row r="5" spans="1:10" ht="26.4" x14ac:dyDescent="0.3">
      <c r="A5" s="14" t="s">
        <v>267</v>
      </c>
      <c r="B5" s="14" t="s">
        <v>139</v>
      </c>
      <c r="C5" s="14" t="s">
        <v>268</v>
      </c>
      <c r="D5" s="14" t="s">
        <v>269</v>
      </c>
      <c r="E5" s="14" t="s">
        <v>270</v>
      </c>
      <c r="F5" s="14" t="s">
        <v>271</v>
      </c>
      <c r="G5" s="14" t="s">
        <v>272</v>
      </c>
      <c r="H5" s="14" t="s">
        <v>170</v>
      </c>
      <c r="I5" s="14"/>
      <c r="J5" s="14" t="s">
        <v>273</v>
      </c>
    </row>
    <row r="6" spans="1:10" ht="26.4" x14ac:dyDescent="0.3">
      <c r="A6" s="7" t="s">
        <v>274</v>
      </c>
      <c r="B6" s="8" t="s">
        <v>138</v>
      </c>
      <c r="C6" s="8" t="s">
        <v>268</v>
      </c>
      <c r="D6" s="8" t="s">
        <v>687</v>
      </c>
      <c r="E6" s="8" t="s">
        <v>688</v>
      </c>
      <c r="F6" s="8" t="s">
        <v>689</v>
      </c>
      <c r="G6" s="8" t="s">
        <v>690</v>
      </c>
      <c r="H6" s="8" t="s">
        <v>170</v>
      </c>
      <c r="I6" s="8"/>
      <c r="J6" s="8" t="s">
        <v>715</v>
      </c>
    </row>
    <row r="7" spans="1:10" ht="26.4" x14ac:dyDescent="0.3">
      <c r="A7" s="7" t="s">
        <v>275</v>
      </c>
      <c r="B7" s="8" t="s">
        <v>139</v>
      </c>
      <c r="C7" s="8" t="s">
        <v>268</v>
      </c>
      <c r="D7" s="8" t="s">
        <v>691</v>
      </c>
      <c r="E7" s="8" t="s">
        <v>692</v>
      </c>
      <c r="F7" s="8" t="s">
        <v>693</v>
      </c>
      <c r="G7" s="8" t="s">
        <v>694</v>
      </c>
      <c r="H7" s="8" t="s">
        <v>170</v>
      </c>
      <c r="I7" s="8"/>
      <c r="J7" s="8" t="s">
        <v>715</v>
      </c>
    </row>
    <row r="8" spans="1:10" ht="39.6" x14ac:dyDescent="0.3">
      <c r="A8" s="7" t="s">
        <v>276</v>
      </c>
      <c r="B8" s="8" t="s">
        <v>140</v>
      </c>
      <c r="C8" s="8" t="s">
        <v>268</v>
      </c>
      <c r="D8" s="8" t="s">
        <v>695</v>
      </c>
      <c r="E8" s="8" t="s">
        <v>696</v>
      </c>
      <c r="F8" s="8" t="s">
        <v>697</v>
      </c>
      <c r="G8" s="8" t="s">
        <v>698</v>
      </c>
      <c r="H8" s="8" t="s">
        <v>170</v>
      </c>
      <c r="I8" s="8"/>
      <c r="J8" s="8" t="s">
        <v>716</v>
      </c>
    </row>
    <row r="9" spans="1:10" ht="26.4" x14ac:dyDescent="0.3">
      <c r="A9" s="7" t="s">
        <v>277</v>
      </c>
      <c r="B9" s="8" t="s">
        <v>141</v>
      </c>
      <c r="C9" s="8" t="s">
        <v>443</v>
      </c>
      <c r="D9" s="8" t="s">
        <v>699</v>
      </c>
      <c r="E9" s="8" t="s">
        <v>700</v>
      </c>
      <c r="F9" s="8" t="s">
        <v>701</v>
      </c>
      <c r="G9" s="8" t="s">
        <v>702</v>
      </c>
      <c r="H9" s="8" t="s">
        <v>170</v>
      </c>
      <c r="I9" s="8"/>
      <c r="J9" s="8" t="s">
        <v>717</v>
      </c>
    </row>
    <row r="10" spans="1:10" ht="26.4" x14ac:dyDescent="0.3">
      <c r="A10" s="7" t="s">
        <v>278</v>
      </c>
      <c r="B10" s="8" t="s">
        <v>142</v>
      </c>
      <c r="C10" s="8" t="s">
        <v>443</v>
      </c>
      <c r="D10" s="8" t="s">
        <v>703</v>
      </c>
      <c r="E10" s="8" t="s">
        <v>704</v>
      </c>
      <c r="F10" s="8" t="s">
        <v>705</v>
      </c>
      <c r="G10" s="8" t="s">
        <v>706</v>
      </c>
      <c r="H10" s="8" t="s">
        <v>170</v>
      </c>
      <c r="I10" s="8"/>
      <c r="J10" s="8" t="s">
        <v>718</v>
      </c>
    </row>
    <row r="11" spans="1:10" ht="39.6" x14ac:dyDescent="0.3">
      <c r="A11" s="7" t="s">
        <v>279</v>
      </c>
      <c r="B11" s="8" t="s">
        <v>143</v>
      </c>
      <c r="C11" s="8" t="s">
        <v>480</v>
      </c>
      <c r="D11" s="8" t="s">
        <v>707</v>
      </c>
      <c r="E11" s="8" t="s">
        <v>708</v>
      </c>
      <c r="F11" s="8" t="s">
        <v>709</v>
      </c>
      <c r="G11" s="8" t="s">
        <v>710</v>
      </c>
      <c r="H11" s="8" t="s">
        <v>170</v>
      </c>
      <c r="I11" s="8"/>
      <c r="J11" s="8" t="s">
        <v>719</v>
      </c>
    </row>
    <row r="12" spans="1:10" ht="26.4" x14ac:dyDescent="0.3">
      <c r="A12" s="7" t="s">
        <v>280</v>
      </c>
      <c r="B12" s="8" t="s">
        <v>144</v>
      </c>
      <c r="C12" s="8" t="s">
        <v>480</v>
      </c>
      <c r="D12" s="8" t="s">
        <v>711</v>
      </c>
      <c r="E12" s="8" t="s">
        <v>712</v>
      </c>
      <c r="F12" s="8" t="s">
        <v>713</v>
      </c>
      <c r="G12" s="8" t="s">
        <v>714</v>
      </c>
      <c r="H12" s="8" t="s">
        <v>170</v>
      </c>
      <c r="I12" s="8"/>
      <c r="J12" s="8" t="s">
        <v>720</v>
      </c>
    </row>
    <row r="13" spans="1:10" x14ac:dyDescent="0.3">
      <c r="A13" s="7" t="s">
        <v>281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7" t="s">
        <v>282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7" t="s">
        <v>283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284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7" t="s">
        <v>285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7" t="s">
        <v>286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7" t="s">
        <v>287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7" t="s">
        <v>288</v>
      </c>
      <c r="B20" s="8"/>
      <c r="C20" s="8"/>
      <c r="D20" s="8"/>
      <c r="E20" s="8"/>
      <c r="F20" s="8"/>
      <c r="G20" s="8"/>
      <c r="H20" s="8"/>
      <c r="I20" s="8"/>
      <c r="J20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700-000000000000}">
          <x14:formula1>
            <xm:f>Listas!$C$2:$C$15</xm:f>
          </x14:formula1>
          <x14:formula2>
            <xm:f>0</xm:f>
          </x14:formula2>
          <xm:sqref>B6:B20</xm:sqref>
        </x14:dataValidation>
        <x14:dataValidation type="list" allowBlank="1" showErrorMessage="1" errorTitle="Valor inválido" error="Escolha um valor da lista." xr:uid="{00000000-0002-0000-0700-000001000000}">
          <x14:formula1>
            <xm:f>Listas!$A$2:$A$22</xm:f>
          </x14:formula1>
          <x14:formula2>
            <xm:f>0</xm:f>
          </x14:formula2>
          <xm:sqref>C6:C20</xm:sqref>
        </x14:dataValidation>
        <x14:dataValidation type="list" allowBlank="1" showErrorMessage="1" errorTitle="Valor inválido" error="Escolha um valor da lista." xr:uid="{00000000-0002-0000-0700-000002000000}">
          <x14:formula1>
            <xm:f>Listas!$E$2:$E$5</xm:f>
          </x14:formula1>
          <x14:formula2>
            <xm:f>0</xm:f>
          </x14:formula2>
          <xm:sqref>H6:H20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showGridLines="0" zoomScale="80" zoomScaleNormal="80" workbookViewId="0">
      <pane xSplit="1" ySplit="5" topLeftCell="F6" activePane="bottomRight" state="frozen"/>
      <selection pane="topRight" activeCell="B1" sqref="B1"/>
      <selection pane="bottomLeft" activeCell="A6" sqref="A6"/>
      <selection pane="bottomRight" activeCell="N17" sqref="N17"/>
    </sheetView>
  </sheetViews>
  <sheetFormatPr defaultColWidth="8.6640625" defaultRowHeight="14.4" x14ac:dyDescent="0.3"/>
  <cols>
    <col min="1" max="1" width="9" customWidth="1"/>
    <col min="2" max="2" width="22" customWidth="1"/>
    <col min="3" max="3" width="40" customWidth="1"/>
    <col min="4" max="4" width="18" customWidth="1"/>
    <col min="5" max="5" width="32" customWidth="1"/>
    <col min="6" max="6" width="30" customWidth="1"/>
    <col min="7" max="7" width="26" customWidth="1"/>
    <col min="8" max="8" width="13" customWidth="1"/>
    <col min="9" max="9" width="8" customWidth="1"/>
    <col min="10" max="10" width="12" customWidth="1"/>
  </cols>
  <sheetData>
    <row r="1" spans="1:10" ht="17.399999999999999" x14ac:dyDescent="0.3">
      <c r="A1" s="1" t="s">
        <v>289</v>
      </c>
    </row>
    <row r="2" spans="1:10" x14ac:dyDescent="0.3">
      <c r="A2" s="2" t="s">
        <v>290</v>
      </c>
    </row>
    <row r="4" spans="1:10" ht="31.5" customHeight="1" x14ac:dyDescent="0.3">
      <c r="A4" s="10" t="s">
        <v>64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156</v>
      </c>
      <c r="H4" s="10" t="s">
        <v>157</v>
      </c>
      <c r="I4" s="10" t="s">
        <v>88</v>
      </c>
      <c r="J4" s="10" t="s">
        <v>158</v>
      </c>
    </row>
    <row r="5" spans="1:10" ht="26.4" x14ac:dyDescent="0.3">
      <c r="A5" s="14" t="s">
        <v>296</v>
      </c>
      <c r="B5" s="14" t="s">
        <v>297</v>
      </c>
      <c r="C5" s="14" t="s">
        <v>298</v>
      </c>
      <c r="D5" s="14" t="s">
        <v>299</v>
      </c>
      <c r="E5" s="14" t="s">
        <v>300</v>
      </c>
      <c r="F5" s="14" t="s">
        <v>301</v>
      </c>
      <c r="G5" s="14" t="s">
        <v>302</v>
      </c>
      <c r="H5" s="14" t="s">
        <v>170</v>
      </c>
      <c r="I5" s="14" t="s">
        <v>94</v>
      </c>
      <c r="J5" s="14"/>
    </row>
    <row r="6" spans="1:10" ht="26.4" x14ac:dyDescent="0.3">
      <c r="A6" s="7" t="s">
        <v>303</v>
      </c>
      <c r="B6" s="8" t="s">
        <v>297</v>
      </c>
      <c r="C6" s="8" t="s">
        <v>298</v>
      </c>
      <c r="D6" s="8" t="s">
        <v>721</v>
      </c>
      <c r="E6" s="8" t="s">
        <v>722</v>
      </c>
      <c r="F6" s="8" t="s">
        <v>723</v>
      </c>
      <c r="G6" s="8" t="s">
        <v>335</v>
      </c>
      <c r="H6" s="8" t="s">
        <v>170</v>
      </c>
      <c r="I6" s="8" t="s">
        <v>94</v>
      </c>
      <c r="J6" s="8"/>
    </row>
    <row r="7" spans="1:10" ht="26.4" x14ac:dyDescent="0.3">
      <c r="A7" s="7" t="s">
        <v>304</v>
      </c>
      <c r="B7" s="8" t="s">
        <v>332</v>
      </c>
      <c r="C7" s="8" t="s">
        <v>724</v>
      </c>
      <c r="D7" s="8" t="s">
        <v>721</v>
      </c>
      <c r="E7" s="8" t="s">
        <v>725</v>
      </c>
      <c r="F7" s="8" t="s">
        <v>726</v>
      </c>
      <c r="G7" s="8" t="s">
        <v>335</v>
      </c>
      <c r="H7" s="8" t="s">
        <v>170</v>
      </c>
      <c r="I7" s="8" t="s">
        <v>443</v>
      </c>
      <c r="J7" s="8"/>
    </row>
    <row r="8" spans="1:10" ht="26.4" x14ac:dyDescent="0.3">
      <c r="A8" s="7" t="s">
        <v>305</v>
      </c>
      <c r="B8" s="8" t="s">
        <v>332</v>
      </c>
      <c r="C8" s="8" t="s">
        <v>724</v>
      </c>
      <c r="D8" s="8" t="s">
        <v>727</v>
      </c>
      <c r="E8" s="8" t="s">
        <v>728</v>
      </c>
      <c r="F8" s="8" t="s">
        <v>729</v>
      </c>
      <c r="G8" s="8" t="s">
        <v>302</v>
      </c>
      <c r="H8" s="8" t="s">
        <v>170</v>
      </c>
      <c r="I8" s="8" t="s">
        <v>443</v>
      </c>
      <c r="J8" s="8" t="s">
        <v>232</v>
      </c>
    </row>
    <row r="9" spans="1:10" ht="39.6" x14ac:dyDescent="0.3">
      <c r="A9" s="7" t="s">
        <v>306</v>
      </c>
      <c r="B9" s="8" t="s">
        <v>451</v>
      </c>
      <c r="C9" s="8" t="s">
        <v>730</v>
      </c>
      <c r="D9" s="8" t="s">
        <v>731</v>
      </c>
      <c r="E9" s="8" t="s">
        <v>732</v>
      </c>
      <c r="F9" s="8" t="s">
        <v>733</v>
      </c>
      <c r="G9" s="8" t="s">
        <v>335</v>
      </c>
      <c r="H9" s="8" t="s">
        <v>170</v>
      </c>
      <c r="I9" s="8" t="s">
        <v>222</v>
      </c>
      <c r="J9" s="8"/>
    </row>
    <row r="10" spans="1:10" ht="39.6" x14ac:dyDescent="0.3">
      <c r="A10" s="7" t="s">
        <v>307</v>
      </c>
      <c r="B10" s="8" t="s">
        <v>451</v>
      </c>
      <c r="C10" s="8" t="s">
        <v>730</v>
      </c>
      <c r="D10" s="8" t="s">
        <v>734</v>
      </c>
      <c r="E10" s="8" t="s">
        <v>735</v>
      </c>
      <c r="F10" s="8" t="s">
        <v>736</v>
      </c>
      <c r="G10" s="8" t="s">
        <v>302</v>
      </c>
      <c r="H10" s="8" t="s">
        <v>170</v>
      </c>
      <c r="I10" s="8" t="s">
        <v>222</v>
      </c>
      <c r="J10" s="8"/>
    </row>
    <row r="11" spans="1:10" ht="39.6" x14ac:dyDescent="0.3">
      <c r="A11" s="7" t="s">
        <v>308</v>
      </c>
      <c r="B11" s="8" t="s">
        <v>451</v>
      </c>
      <c r="C11" s="8" t="s">
        <v>730</v>
      </c>
      <c r="D11" s="8" t="s">
        <v>737</v>
      </c>
      <c r="E11" s="8" t="s">
        <v>738</v>
      </c>
      <c r="F11" s="8" t="s">
        <v>739</v>
      </c>
      <c r="G11" s="8" t="s">
        <v>302</v>
      </c>
      <c r="H11" s="8" t="s">
        <v>170</v>
      </c>
      <c r="I11" s="8" t="s">
        <v>222</v>
      </c>
      <c r="J11" s="8" t="s">
        <v>235</v>
      </c>
    </row>
    <row r="12" spans="1:10" x14ac:dyDescent="0.3">
      <c r="A12" s="7" t="s">
        <v>309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3">
      <c r="A13" s="7" t="s">
        <v>310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7" t="s">
        <v>311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7" t="s">
        <v>312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313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7" t="s">
        <v>314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7" t="s">
        <v>315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7" t="s">
        <v>316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7" t="s">
        <v>317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7" t="s">
        <v>318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7" t="s">
        <v>319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7" t="s">
        <v>320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7" t="s">
        <v>321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7" t="s">
        <v>322</v>
      </c>
      <c r="B25" s="8"/>
      <c r="C25" s="8"/>
      <c r="D25" s="8"/>
      <c r="E25" s="8"/>
      <c r="F25" s="8"/>
      <c r="G25" s="8"/>
      <c r="H25" s="8"/>
      <c r="I25" s="8"/>
      <c r="J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8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800-000001000000}">
          <x14:formula1>
            <xm:f>Listas!$E$2:$E$5</xm:f>
          </x14:formula1>
          <x14:formula2>
            <xm:f>0</xm:f>
          </x14:formula2>
          <xm:sqref>H6:H25</xm:sqref>
        </x14:dataValidation>
        <x14:dataValidation type="list" allowBlank="1" showErrorMessage="1" errorTitle="Valor inválido" error="Escolha um valor da lista." xr:uid="{00000000-0002-0000-0800-000002000000}">
          <x14:formula1>
            <xm:f>Listas!$A$2:$A$22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showGridLines="0" zoomScale="94" zoomScaleNormal="9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3" sqref="I13"/>
    </sheetView>
  </sheetViews>
  <sheetFormatPr defaultColWidth="8.6640625" defaultRowHeight="14.4" x14ac:dyDescent="0.3"/>
  <cols>
    <col min="1" max="1" width="8" customWidth="1"/>
    <col min="2" max="2" width="22" customWidth="1"/>
    <col min="3" max="3" width="38" customWidth="1"/>
    <col min="4" max="4" width="8" customWidth="1"/>
    <col min="5" max="5" width="58" customWidth="1"/>
    <col min="6" max="7" width="14" customWidth="1"/>
    <col min="8" max="8" width="16" customWidth="1"/>
    <col min="9" max="9" width="12" customWidth="1"/>
  </cols>
  <sheetData>
    <row r="1" spans="1:9" ht="17.399999999999999" x14ac:dyDescent="0.3">
      <c r="A1" s="1" t="s">
        <v>323</v>
      </c>
    </row>
    <row r="2" spans="1:9" x14ac:dyDescent="0.3">
      <c r="A2" s="2" t="s">
        <v>324</v>
      </c>
    </row>
    <row r="4" spans="1:9" ht="31.5" customHeight="1" x14ac:dyDescent="0.3">
      <c r="A4" s="10" t="s">
        <v>64</v>
      </c>
      <c r="B4" s="10" t="s">
        <v>325</v>
      </c>
      <c r="C4" s="10" t="s">
        <v>326</v>
      </c>
      <c r="D4" s="10" t="s">
        <v>88</v>
      </c>
      <c r="E4" s="10" t="s">
        <v>327</v>
      </c>
      <c r="F4" s="10" t="s">
        <v>328</v>
      </c>
      <c r="G4" s="10" t="s">
        <v>329</v>
      </c>
      <c r="H4" s="10" t="s">
        <v>330</v>
      </c>
      <c r="I4" s="10" t="s">
        <v>158</v>
      </c>
    </row>
    <row r="5" spans="1:9" x14ac:dyDescent="0.3">
      <c r="A5" s="14" t="s">
        <v>331</v>
      </c>
      <c r="B5" s="14" t="s">
        <v>332</v>
      </c>
      <c r="C5" s="14" t="s">
        <v>333</v>
      </c>
      <c r="D5" s="14" t="s">
        <v>94</v>
      </c>
      <c r="E5" s="14" t="s">
        <v>334</v>
      </c>
      <c r="F5" s="14" t="s">
        <v>335</v>
      </c>
      <c r="G5" s="14" t="s">
        <v>335</v>
      </c>
      <c r="H5" s="14" t="s">
        <v>170</v>
      </c>
      <c r="I5" s="14"/>
    </row>
    <row r="6" spans="1:9" x14ac:dyDescent="0.3">
      <c r="A6" s="7" t="s">
        <v>336</v>
      </c>
      <c r="B6" s="8" t="s">
        <v>297</v>
      </c>
      <c r="C6" s="8" t="s">
        <v>740</v>
      </c>
      <c r="D6" s="8" t="s">
        <v>94</v>
      </c>
      <c r="E6" s="8" t="s">
        <v>741</v>
      </c>
      <c r="F6" s="8" t="s">
        <v>335</v>
      </c>
      <c r="G6" s="8" t="s">
        <v>335</v>
      </c>
      <c r="H6" s="8" t="s">
        <v>170</v>
      </c>
      <c r="I6" s="8"/>
    </row>
    <row r="7" spans="1:9" ht="26.4" x14ac:dyDescent="0.3">
      <c r="A7" s="7" t="s">
        <v>337</v>
      </c>
      <c r="B7" s="8" t="s">
        <v>297</v>
      </c>
      <c r="C7" s="8" t="s">
        <v>742</v>
      </c>
      <c r="D7" s="8" t="s">
        <v>94</v>
      </c>
      <c r="E7" s="8" t="s">
        <v>743</v>
      </c>
      <c r="F7" s="8" t="s">
        <v>302</v>
      </c>
      <c r="G7" s="8" t="s">
        <v>302</v>
      </c>
      <c r="H7" s="8" t="s">
        <v>170</v>
      </c>
      <c r="I7" s="8"/>
    </row>
    <row r="8" spans="1:9" x14ac:dyDescent="0.3">
      <c r="A8" s="7" t="s">
        <v>338</v>
      </c>
      <c r="B8" s="8" t="s">
        <v>332</v>
      </c>
      <c r="C8" s="8" t="s">
        <v>744</v>
      </c>
      <c r="D8" s="8" t="s">
        <v>443</v>
      </c>
      <c r="E8" s="8" t="s">
        <v>745</v>
      </c>
      <c r="F8" s="8" t="s">
        <v>302</v>
      </c>
      <c r="G8" s="8" t="s">
        <v>335</v>
      </c>
      <c r="H8" s="8" t="s">
        <v>170</v>
      </c>
      <c r="I8" s="8" t="s">
        <v>232</v>
      </c>
    </row>
    <row r="9" spans="1:9" ht="26.4" x14ac:dyDescent="0.3">
      <c r="A9" s="7" t="s">
        <v>339</v>
      </c>
      <c r="B9" s="8" t="s">
        <v>451</v>
      </c>
      <c r="C9" s="8" t="s">
        <v>746</v>
      </c>
      <c r="D9" s="8" t="s">
        <v>222</v>
      </c>
      <c r="E9" s="8" t="s">
        <v>747</v>
      </c>
      <c r="F9" s="8" t="s">
        <v>335</v>
      </c>
      <c r="G9" s="8" t="s">
        <v>335</v>
      </c>
      <c r="H9" s="8" t="s">
        <v>170</v>
      </c>
      <c r="I9" s="8"/>
    </row>
    <row r="10" spans="1:9" ht="26.4" x14ac:dyDescent="0.3">
      <c r="A10" s="7" t="s">
        <v>340</v>
      </c>
      <c r="B10" s="8" t="s">
        <v>451</v>
      </c>
      <c r="C10" s="8" t="s">
        <v>748</v>
      </c>
      <c r="D10" s="8" t="s">
        <v>222</v>
      </c>
      <c r="E10" s="8" t="s">
        <v>749</v>
      </c>
      <c r="F10" s="8" t="s">
        <v>302</v>
      </c>
      <c r="G10" s="8" t="s">
        <v>335</v>
      </c>
      <c r="H10" s="8" t="s">
        <v>446</v>
      </c>
      <c r="I10" s="8" t="s">
        <v>235</v>
      </c>
    </row>
    <row r="11" spans="1:9" x14ac:dyDescent="0.3">
      <c r="A11" s="7" t="s">
        <v>341</v>
      </c>
      <c r="B11" s="8" t="s">
        <v>474</v>
      </c>
      <c r="C11" s="8" t="s">
        <v>750</v>
      </c>
      <c r="D11" s="8" t="s">
        <v>476</v>
      </c>
      <c r="E11" s="8" t="s">
        <v>751</v>
      </c>
      <c r="F11" s="8" t="s">
        <v>302</v>
      </c>
      <c r="G11" s="8" t="s">
        <v>335</v>
      </c>
      <c r="H11" s="8" t="s">
        <v>446</v>
      </c>
      <c r="I11" s="8" t="s">
        <v>234</v>
      </c>
    </row>
    <row r="12" spans="1:9" x14ac:dyDescent="0.3">
      <c r="A12" s="7" t="s">
        <v>342</v>
      </c>
      <c r="B12" s="8" t="s">
        <v>451</v>
      </c>
      <c r="C12" s="8" t="s">
        <v>752</v>
      </c>
      <c r="D12" s="8" t="s">
        <v>462</v>
      </c>
      <c r="E12" s="8" t="s">
        <v>753</v>
      </c>
      <c r="F12" s="8" t="s">
        <v>302</v>
      </c>
      <c r="G12" s="8" t="s">
        <v>335</v>
      </c>
      <c r="H12" s="8" t="s">
        <v>446</v>
      </c>
      <c r="I12" s="8" t="s">
        <v>233</v>
      </c>
    </row>
    <row r="13" spans="1:9" ht="26.4" x14ac:dyDescent="0.3">
      <c r="A13" s="7" t="s">
        <v>343</v>
      </c>
      <c r="B13" s="8" t="s">
        <v>466</v>
      </c>
      <c r="C13" s="8" t="s">
        <v>754</v>
      </c>
      <c r="D13" s="8" t="s">
        <v>454</v>
      </c>
      <c r="E13" s="8" t="s">
        <v>755</v>
      </c>
      <c r="F13" s="8" t="s">
        <v>756</v>
      </c>
      <c r="G13" s="8" t="s">
        <v>757</v>
      </c>
      <c r="H13" s="8" t="s">
        <v>446</v>
      </c>
      <c r="I13" s="8" t="s">
        <v>231</v>
      </c>
    </row>
    <row r="14" spans="1:9" x14ac:dyDescent="0.3">
      <c r="A14" s="7" t="s">
        <v>344</v>
      </c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7" t="s">
        <v>345</v>
      </c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7" t="s">
        <v>346</v>
      </c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7" t="s">
        <v>347</v>
      </c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7" t="s">
        <v>348</v>
      </c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7" t="s">
        <v>349</v>
      </c>
      <c r="B19" s="8"/>
      <c r="C19" s="8"/>
      <c r="D19" s="8"/>
      <c r="E19" s="8"/>
      <c r="F19" s="8"/>
      <c r="G19" s="8"/>
      <c r="H19" s="8"/>
      <c r="I19" s="8"/>
    </row>
    <row r="20" spans="1:9" x14ac:dyDescent="0.3">
      <c r="A20" s="7" t="s">
        <v>350</v>
      </c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7" t="s">
        <v>351</v>
      </c>
      <c r="B21" s="8"/>
      <c r="C21" s="8"/>
      <c r="D21" s="8"/>
      <c r="E21" s="8"/>
      <c r="F21" s="8"/>
      <c r="G21" s="8"/>
      <c r="H21" s="8"/>
      <c r="I21" s="8"/>
    </row>
    <row r="22" spans="1:9" x14ac:dyDescent="0.3">
      <c r="A22" s="7" t="s">
        <v>352</v>
      </c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7" t="s">
        <v>353</v>
      </c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7" t="s">
        <v>354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7" t="s">
        <v>355</v>
      </c>
      <c r="B25" s="8"/>
      <c r="C25" s="8"/>
      <c r="D25" s="8"/>
      <c r="E25" s="8"/>
      <c r="F25" s="8"/>
      <c r="G25" s="8"/>
      <c r="H25" s="8"/>
      <c r="I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9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900-000001000000}">
          <x14:formula1>
            <xm:f>Listas!$A$2:$A$22</xm:f>
          </x14:formula1>
          <x14:formula2>
            <xm:f>0</xm:f>
          </x14:formula2>
          <xm:sqref>D6:D25</xm:sqref>
        </x14:dataValidation>
        <x14:dataValidation type="list" allowBlank="1" showErrorMessage="1" errorTitle="Valor inválido" error="Escolha um valor da lista." xr:uid="{00000000-0002-0000-0900-000002000000}">
          <x14:formula1>
            <xm:f>Listas!$E$2:$E$5</xm:f>
          </x14:formula1>
          <x14:formula2>
            <xm:f>0</xm:f>
          </x14:formula2>
          <xm:sqref>H6:H25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showGridLines="0" zoomScale="91" zoomScaleNormal="9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L5" sqref="L5"/>
    </sheetView>
  </sheetViews>
  <sheetFormatPr defaultColWidth="8.6640625" defaultRowHeight="14.4" x14ac:dyDescent="0.3"/>
  <cols>
    <col min="1" max="1" width="9" customWidth="1"/>
    <col min="2" max="2" width="12" customWidth="1"/>
    <col min="3" max="3" width="16" customWidth="1"/>
    <col min="4" max="4" width="20" customWidth="1"/>
    <col min="5" max="5" width="36" customWidth="1"/>
    <col min="6" max="6" width="40" customWidth="1"/>
    <col min="7" max="8" width="16" customWidth="1"/>
    <col min="9" max="10" width="14" customWidth="1"/>
    <col min="11" max="11" width="12" customWidth="1"/>
    <col min="12" max="12" width="14" customWidth="1"/>
  </cols>
  <sheetData>
    <row r="1" spans="1:12" ht="17.399999999999999" x14ac:dyDescent="0.3">
      <c r="A1" s="1" t="s">
        <v>356</v>
      </c>
    </row>
    <row r="2" spans="1:12" x14ac:dyDescent="0.3">
      <c r="A2" s="2" t="s">
        <v>357</v>
      </c>
    </row>
    <row r="4" spans="1:12" ht="31.5" customHeight="1" x14ac:dyDescent="0.3">
      <c r="A4" s="10" t="s">
        <v>64</v>
      </c>
      <c r="B4" s="10" t="s">
        <v>358</v>
      </c>
      <c r="C4" s="10" t="s">
        <v>359</v>
      </c>
      <c r="D4" s="10" t="s">
        <v>291</v>
      </c>
      <c r="E4" s="10" t="s">
        <v>360</v>
      </c>
      <c r="F4" s="10" t="s">
        <v>361</v>
      </c>
      <c r="G4" s="10" t="s">
        <v>362</v>
      </c>
      <c r="H4" s="10" t="s">
        <v>363</v>
      </c>
      <c r="I4" s="10" t="s">
        <v>364</v>
      </c>
      <c r="J4" s="10" t="s">
        <v>365</v>
      </c>
      <c r="K4" s="10" t="s">
        <v>366</v>
      </c>
      <c r="L4" s="10" t="s">
        <v>367</v>
      </c>
    </row>
    <row r="5" spans="1:12" ht="60" customHeight="1" x14ac:dyDescent="0.3">
      <c r="A5" s="7" t="s">
        <v>368</v>
      </c>
      <c r="B5" s="8" t="s">
        <v>231</v>
      </c>
      <c r="C5" s="8" t="s">
        <v>758</v>
      </c>
      <c r="D5" s="8" t="s">
        <v>759</v>
      </c>
      <c r="E5" s="8" t="s">
        <v>760</v>
      </c>
      <c r="F5" s="8" t="s">
        <v>761</v>
      </c>
      <c r="G5" s="8" t="s">
        <v>343</v>
      </c>
      <c r="H5" s="8" t="s">
        <v>170</v>
      </c>
      <c r="I5" s="8" t="s">
        <v>762</v>
      </c>
      <c r="J5" s="8" t="s">
        <v>763</v>
      </c>
      <c r="K5" s="8" t="s">
        <v>448</v>
      </c>
      <c r="L5" s="8" t="s">
        <v>764</v>
      </c>
    </row>
    <row r="6" spans="1:12" ht="60" customHeight="1" x14ac:dyDescent="0.3">
      <c r="A6" s="7" t="s">
        <v>369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60" customHeight="1" x14ac:dyDescent="0.3">
      <c r="A7" s="7" t="s">
        <v>370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A00-000000000000}">
          <x14:formula1>
            <xm:f>Listas!$E$2:$E$5</xm:f>
          </x14:formula1>
          <x14:formula2>
            <xm:f>0</xm:f>
          </x14:formula2>
          <xm:sqref>H5:H7</xm:sqref>
        </x14:dataValidation>
        <x14:dataValidation type="list" allowBlank="1" showErrorMessage="1" errorTitle="Valor inválido" error="Escolha um valor da lista." xr:uid="{00000000-0002-0000-0A00-000001000000}">
          <x14:formula1>
            <xm:f>Listas!$I$2:$I$3</xm:f>
          </x14:formula1>
          <x14:formula2>
            <xm:f>0</xm:f>
          </x14:formula2>
          <xm:sqref>K5:K7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showGridLines="0" topLeftCell="B23" zoomScale="73" zoomScaleNormal="73" workbookViewId="0">
      <selection activeCell="C43" sqref="C43"/>
    </sheetView>
  </sheetViews>
  <sheetFormatPr defaultColWidth="8.6640625" defaultRowHeight="14.4" x14ac:dyDescent="0.3"/>
  <cols>
    <col min="1" max="1" width="44" customWidth="1"/>
    <col min="2" max="2" width="16" customWidth="1"/>
    <col min="3" max="3" width="90" customWidth="1"/>
  </cols>
  <sheetData>
    <row r="1" spans="1:2" ht="17.399999999999999" x14ac:dyDescent="0.3">
      <c r="A1" s="1" t="s">
        <v>371</v>
      </c>
    </row>
    <row r="2" spans="1:2" x14ac:dyDescent="0.3">
      <c r="A2" s="2" t="s">
        <v>372</v>
      </c>
    </row>
    <row r="4" spans="1:2" x14ac:dyDescent="0.3">
      <c r="A4" s="15" t="s">
        <v>373</v>
      </c>
      <c r="B4" s="16"/>
    </row>
    <row r="5" spans="1:2" x14ac:dyDescent="0.3">
      <c r="A5" s="17" t="s">
        <v>374</v>
      </c>
      <c r="B5" s="18">
        <f>COUNTA('5_Casos_de_Teste'!G6:G45)</f>
        <v>15</v>
      </c>
    </row>
    <row r="6" spans="1:2" x14ac:dyDescent="0.3">
      <c r="A6" s="17" t="s">
        <v>375</v>
      </c>
      <c r="B6" s="18">
        <f>COUNTIF('5_Casos_de_Teste'!M6:M45,"Passou")</f>
        <v>15</v>
      </c>
    </row>
    <row r="7" spans="1:2" x14ac:dyDescent="0.3">
      <c r="A7" s="17" t="s">
        <v>376</v>
      </c>
      <c r="B7" s="18">
        <f>COUNTIF('5_Casos_de_Teste'!M6:M45,"Falhou")</f>
        <v>0</v>
      </c>
    </row>
    <row r="8" spans="1:2" x14ac:dyDescent="0.3">
      <c r="A8" s="17" t="s">
        <v>377</v>
      </c>
      <c r="B8" s="18">
        <f>COUNTIF('5_Casos_de_Teste'!M6:M45,"Bloqueado")</f>
        <v>0</v>
      </c>
    </row>
    <row r="9" spans="1:2" x14ac:dyDescent="0.3">
      <c r="A9" s="17" t="s">
        <v>378</v>
      </c>
      <c r="B9" s="18">
        <f>COUNTIF('5_Casos_de_Teste'!M6:M45,"Não executado")</f>
        <v>0</v>
      </c>
    </row>
    <row r="10" spans="1:2" x14ac:dyDescent="0.3">
      <c r="A10" s="17" t="s">
        <v>379</v>
      </c>
      <c r="B10" s="19">
        <f>IFERROR(B6/(B6+B7+B8),0)</f>
        <v>1</v>
      </c>
    </row>
    <row r="11" spans="1:2" x14ac:dyDescent="0.3">
      <c r="A11" s="17" t="s">
        <v>380</v>
      </c>
      <c r="B11" s="18">
        <f>COUNTIF('5_Casos_de_Teste'!D6:D45,"Valor limite")</f>
        <v>5</v>
      </c>
    </row>
    <row r="12" spans="1:2" x14ac:dyDescent="0.3">
      <c r="A12" s="17" t="s">
        <v>381</v>
      </c>
      <c r="B12" s="18">
        <f>COUNTA('6_Bugs'!B6:B35)</f>
        <v>6</v>
      </c>
    </row>
    <row r="13" spans="1:2" x14ac:dyDescent="0.3">
      <c r="A13" s="17" t="s">
        <v>382</v>
      </c>
      <c r="B13" s="18">
        <f>COUNTIF('6_Bugs'!G6:G35,"Crítica")</f>
        <v>1</v>
      </c>
    </row>
    <row r="14" spans="1:2" x14ac:dyDescent="0.3">
      <c r="A14" s="17" t="s">
        <v>383</v>
      </c>
      <c r="B14" s="18">
        <f>COUNTIF('6_Bugs'!G6:G35,"Alta")</f>
        <v>1</v>
      </c>
    </row>
    <row r="15" spans="1:2" x14ac:dyDescent="0.3">
      <c r="A15" s="17" t="s">
        <v>384</v>
      </c>
      <c r="B15" s="18">
        <f>COUNTIF('6_Bugs'!G6:G35,"Média")</f>
        <v>2</v>
      </c>
    </row>
    <row r="16" spans="1:2" x14ac:dyDescent="0.3">
      <c r="A16" s="17" t="s">
        <v>385</v>
      </c>
      <c r="B16" s="18">
        <f>COUNTIF('6_Bugs'!G6:G35,"Baixa")</f>
        <v>2</v>
      </c>
    </row>
    <row r="17" spans="1:4" x14ac:dyDescent="0.3">
      <c r="A17" s="17" t="s">
        <v>386</v>
      </c>
      <c r="B17" s="18">
        <f>COUNTIF('6_Bugs'!N6:N35,"Corrigido*")</f>
        <v>0</v>
      </c>
    </row>
    <row r="18" spans="1:4" x14ac:dyDescent="0.3">
      <c r="A18" s="17" t="s">
        <v>387</v>
      </c>
      <c r="B18" s="18">
        <f>COUNTA('7_Nao_Funcionais'!H6:H20)</f>
        <v>7</v>
      </c>
    </row>
    <row r="19" spans="1:4" x14ac:dyDescent="0.3">
      <c r="A19" s="17" t="s">
        <v>388</v>
      </c>
      <c r="B19" s="18">
        <f>COUNTIF('7_Nao_Funcionais'!H6:H20,"Falhou")</f>
        <v>0</v>
      </c>
    </row>
    <row r="20" spans="1:4" x14ac:dyDescent="0.3">
      <c r="A20" s="17" t="s">
        <v>389</v>
      </c>
      <c r="B20" s="18">
        <f>COUNTA('8_Caixa_Branca'!C6:C25)</f>
        <v>6</v>
      </c>
    </row>
    <row r="21" spans="1:4" x14ac:dyDescent="0.3">
      <c r="A21" s="17" t="s">
        <v>390</v>
      </c>
      <c r="B21" s="18">
        <f>COUNTA('9_Automacao'!E6:E25)</f>
        <v>8</v>
      </c>
    </row>
    <row r="22" spans="1:4" x14ac:dyDescent="0.3">
      <c r="A22" s="17" t="s">
        <v>391</v>
      </c>
      <c r="B22" s="18">
        <f>COUNTIF('9_Automacao'!H6:H25,"Passou")</f>
        <v>4</v>
      </c>
    </row>
    <row r="23" spans="1:4" x14ac:dyDescent="0.3">
      <c r="A23" s="17" t="s">
        <v>392</v>
      </c>
      <c r="B23" s="18">
        <f>COUNTIF('9_Automacao'!H6:H25,"Falhou")</f>
        <v>4</v>
      </c>
    </row>
    <row r="25" spans="1:4" x14ac:dyDescent="0.3">
      <c r="A25" s="15" t="s">
        <v>393</v>
      </c>
      <c r="B25" s="16"/>
      <c r="C25" s="16"/>
    </row>
    <row r="26" spans="1:4" ht="48" customHeight="1" x14ac:dyDescent="0.3">
      <c r="A26" s="7" t="s">
        <v>394</v>
      </c>
      <c r="B26" s="24" t="s">
        <v>765</v>
      </c>
      <c r="C26" s="24"/>
      <c r="D26" s="9" t="s">
        <v>395</v>
      </c>
    </row>
    <row r="27" spans="1:4" ht="48" customHeight="1" x14ac:dyDescent="0.3">
      <c r="A27" s="7" t="s">
        <v>396</v>
      </c>
      <c r="B27" s="24" t="s">
        <v>766</v>
      </c>
      <c r="C27" s="24"/>
    </row>
    <row r="28" spans="1:4" ht="48" customHeight="1" x14ac:dyDescent="0.3">
      <c r="A28" s="7" t="s">
        <v>397</v>
      </c>
      <c r="B28" s="24" t="s">
        <v>767</v>
      </c>
      <c r="C28" s="24"/>
    </row>
    <row r="29" spans="1:4" ht="48" customHeight="1" x14ac:dyDescent="0.3">
      <c r="A29" s="7" t="s">
        <v>398</v>
      </c>
      <c r="B29" s="24" t="s">
        <v>768</v>
      </c>
      <c r="C29" s="24"/>
    </row>
    <row r="30" spans="1:4" ht="18" customHeight="1" x14ac:dyDescent="0.3">
      <c r="A30" s="7" t="s">
        <v>399</v>
      </c>
      <c r="B30" s="24" t="s">
        <v>450</v>
      </c>
      <c r="C30" s="24"/>
      <c r="D30" s="9" t="s">
        <v>400</v>
      </c>
    </row>
    <row r="31" spans="1:4" ht="48" customHeight="1" x14ac:dyDescent="0.3">
      <c r="A31" s="7" t="s">
        <v>401</v>
      </c>
      <c r="B31" s="24" t="s">
        <v>769</v>
      </c>
      <c r="C31" s="24"/>
      <c r="D31" s="9" t="s">
        <v>402</v>
      </c>
    </row>
    <row r="32" spans="1:4" ht="48" customHeight="1" x14ac:dyDescent="0.3">
      <c r="A32" s="7" t="s">
        <v>403</v>
      </c>
      <c r="B32" s="24" t="s">
        <v>770</v>
      </c>
      <c r="C32" s="24"/>
    </row>
    <row r="33" spans="1:3" ht="48" customHeight="1" x14ac:dyDescent="0.3">
      <c r="A33" s="7" t="s">
        <v>404</v>
      </c>
      <c r="B33" s="24" t="s">
        <v>771</v>
      </c>
      <c r="C33" s="24"/>
    </row>
  </sheetData>
  <mergeCells count="8">
    <mergeCell ref="B31:C31"/>
    <mergeCell ref="B32:C32"/>
    <mergeCell ref="B33:C33"/>
    <mergeCell ref="B26:C26"/>
    <mergeCell ref="B27:C27"/>
    <mergeCell ref="B28:C28"/>
    <mergeCell ref="B29:C29"/>
    <mergeCell ref="B30:C3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B00-000000000000}">
          <x14:formula1>
            <xm:f>Listas!$L$2:$L$4</xm:f>
          </x14:formula1>
          <x14:formula2>
            <xm:f>0</xm:f>
          </x14:formula2>
          <xm:sqref>B30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showGridLines="0" tabSelected="1" zoomScale="85" zoomScaleNormal="85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H10" sqref="H10"/>
    </sheetView>
  </sheetViews>
  <sheetFormatPr defaultColWidth="8.6640625" defaultRowHeight="14.4" x14ac:dyDescent="0.3"/>
  <cols>
    <col min="1" max="1" width="8" customWidth="1"/>
    <col min="2" max="2" width="9" customWidth="1"/>
    <col min="3" max="3" width="16" customWidth="1"/>
    <col min="4" max="4" width="50" customWidth="1"/>
    <col min="5" max="5" width="40" customWidth="1"/>
    <col min="6" max="6" width="36" customWidth="1"/>
    <col min="7" max="7" width="40" customWidth="1"/>
  </cols>
  <sheetData>
    <row r="1" spans="1:7" ht="17.399999999999999" x14ac:dyDescent="0.3">
      <c r="A1" s="1" t="s">
        <v>405</v>
      </c>
    </row>
    <row r="2" spans="1:7" x14ac:dyDescent="0.3">
      <c r="A2" s="2" t="s">
        <v>406</v>
      </c>
    </row>
    <row r="4" spans="1:7" ht="31.5" customHeight="1" x14ac:dyDescent="0.3">
      <c r="A4" s="10" t="s">
        <v>64</v>
      </c>
      <c r="B4" s="10" t="s">
        <v>219</v>
      </c>
      <c r="C4" s="10" t="s">
        <v>407</v>
      </c>
      <c r="D4" s="10" t="s">
        <v>408</v>
      </c>
      <c r="E4" s="10" t="s">
        <v>409</v>
      </c>
      <c r="F4" s="10" t="s">
        <v>410</v>
      </c>
      <c r="G4" s="10" t="s">
        <v>411</v>
      </c>
    </row>
    <row r="5" spans="1:7" ht="39.6" x14ac:dyDescent="0.3">
      <c r="A5" s="7" t="s">
        <v>412</v>
      </c>
      <c r="B5" s="8" t="s">
        <v>440</v>
      </c>
      <c r="C5" s="8" t="s">
        <v>772</v>
      </c>
      <c r="D5" s="8" t="s">
        <v>773</v>
      </c>
      <c r="E5" s="8" t="s">
        <v>774</v>
      </c>
      <c r="F5" s="8" t="s">
        <v>775</v>
      </c>
      <c r="G5" s="8" t="s">
        <v>776</v>
      </c>
    </row>
    <row r="6" spans="1:7" x14ac:dyDescent="0.3">
      <c r="A6" s="7" t="s">
        <v>413</v>
      </c>
      <c r="B6" s="8" t="s">
        <v>452</v>
      </c>
      <c r="C6" s="8" t="s">
        <v>777</v>
      </c>
      <c r="D6" s="8"/>
      <c r="E6" s="8"/>
      <c r="F6" s="8"/>
      <c r="G6" s="8"/>
    </row>
    <row r="7" spans="1:7" ht="39.6" x14ac:dyDescent="0.3">
      <c r="A7" s="7" t="s">
        <v>414</v>
      </c>
      <c r="B7" s="8" t="s">
        <v>230</v>
      </c>
      <c r="C7" s="8" t="s">
        <v>772</v>
      </c>
      <c r="D7" s="8" t="s">
        <v>778</v>
      </c>
      <c r="E7" s="8" t="s">
        <v>779</v>
      </c>
      <c r="F7" s="8" t="s">
        <v>780</v>
      </c>
      <c r="G7" s="8" t="s">
        <v>781</v>
      </c>
    </row>
    <row r="8" spans="1:7" x14ac:dyDescent="0.3">
      <c r="A8" s="7" t="s">
        <v>415</v>
      </c>
      <c r="B8" s="8" t="s">
        <v>467</v>
      </c>
      <c r="C8" s="8" t="s">
        <v>777</v>
      </c>
      <c r="D8" s="8"/>
      <c r="E8" s="8"/>
      <c r="F8" s="8"/>
      <c r="G8" s="8"/>
    </row>
    <row r="9" spans="1:7" ht="39.6" x14ac:dyDescent="0.3">
      <c r="A9" s="7" t="s">
        <v>416</v>
      </c>
      <c r="B9" s="8" t="s">
        <v>471</v>
      </c>
      <c r="C9" s="8" t="s">
        <v>772</v>
      </c>
      <c r="D9" s="8" t="s">
        <v>782</v>
      </c>
      <c r="E9" s="8" t="s">
        <v>783</v>
      </c>
      <c r="F9" s="8" t="s">
        <v>784</v>
      </c>
      <c r="G9" s="8" t="s">
        <v>785</v>
      </c>
    </row>
    <row r="10" spans="1:7" ht="39.6" x14ac:dyDescent="0.3">
      <c r="A10" s="7" t="s">
        <v>417</v>
      </c>
      <c r="B10" s="8" t="s">
        <v>475</v>
      </c>
      <c r="C10" s="8" t="s">
        <v>772</v>
      </c>
      <c r="D10" s="8" t="s">
        <v>790</v>
      </c>
      <c r="E10" s="8" t="s">
        <v>791</v>
      </c>
      <c r="F10" s="8" t="s">
        <v>792</v>
      </c>
      <c r="G10" s="8" t="s">
        <v>793</v>
      </c>
    </row>
    <row r="11" spans="1:7" ht="39.6" x14ac:dyDescent="0.3">
      <c r="A11" s="7" t="s">
        <v>418</v>
      </c>
      <c r="B11" s="8" t="s">
        <v>479</v>
      </c>
      <c r="C11" s="8" t="s">
        <v>772</v>
      </c>
      <c r="D11" s="8" t="s">
        <v>786</v>
      </c>
      <c r="E11" s="8" t="s">
        <v>787</v>
      </c>
      <c r="F11" s="8" t="s">
        <v>788</v>
      </c>
      <c r="G11" s="8" t="s">
        <v>789</v>
      </c>
    </row>
    <row r="12" spans="1:7" x14ac:dyDescent="0.3">
      <c r="A12" s="7" t="s">
        <v>419</v>
      </c>
      <c r="B12" s="8"/>
      <c r="C12" s="8"/>
      <c r="D12" s="8"/>
      <c r="E12" s="8"/>
      <c r="F12" s="8"/>
      <c r="G12" s="8"/>
    </row>
    <row r="13" spans="1:7" x14ac:dyDescent="0.3">
      <c r="A13" s="7" t="s">
        <v>420</v>
      </c>
      <c r="B13" s="8"/>
      <c r="C13" s="8"/>
      <c r="D13" s="8"/>
      <c r="E13" s="8"/>
      <c r="F13" s="8"/>
      <c r="G13" s="8"/>
    </row>
    <row r="14" spans="1:7" x14ac:dyDescent="0.3">
      <c r="A14" s="7" t="s">
        <v>421</v>
      </c>
      <c r="B14" s="8"/>
      <c r="C14" s="8"/>
      <c r="D14" s="8"/>
      <c r="E14" s="8"/>
      <c r="F14" s="8"/>
      <c r="G14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C00-000000000000}">
          <x14:formula1>
            <xm:f>Listas!$N$2:$N$8</xm:f>
          </x14:formula1>
          <x14:formula2>
            <xm:f>0</xm:f>
          </x14:formula2>
          <xm:sqref>B5:B14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2"/>
  <sheetViews>
    <sheetView zoomScaleNormal="100" workbookViewId="0"/>
  </sheetViews>
  <sheetFormatPr defaultColWidth="8.6640625" defaultRowHeight="14.4" x14ac:dyDescent="0.3"/>
  <sheetData>
    <row r="1" spans="1:16" x14ac:dyDescent="0.3">
      <c r="A1" s="5" t="s">
        <v>88</v>
      </c>
      <c r="B1" s="5" t="s">
        <v>422</v>
      </c>
      <c r="C1" s="5" t="s">
        <v>423</v>
      </c>
      <c r="D1" s="5" t="s">
        <v>424</v>
      </c>
      <c r="E1" s="5" t="s">
        <v>157</v>
      </c>
      <c r="F1" s="5" t="s">
        <v>38</v>
      </c>
      <c r="G1" s="5" t="s">
        <v>215</v>
      </c>
      <c r="H1" s="5" t="s">
        <v>425</v>
      </c>
      <c r="I1" s="5" t="s">
        <v>426</v>
      </c>
      <c r="J1" s="5" t="s">
        <v>427</v>
      </c>
      <c r="K1" s="5" t="s">
        <v>84</v>
      </c>
      <c r="L1" s="5" t="s">
        <v>428</v>
      </c>
      <c r="M1" s="5" t="s">
        <v>429</v>
      </c>
      <c r="N1" s="5" t="s">
        <v>430</v>
      </c>
      <c r="O1" s="5" t="s">
        <v>431</v>
      </c>
      <c r="P1" s="5" t="s">
        <v>432</v>
      </c>
    </row>
    <row r="2" spans="1:16" x14ac:dyDescent="0.3">
      <c r="A2" s="6" t="s">
        <v>433</v>
      </c>
      <c r="B2" s="6" t="s">
        <v>162</v>
      </c>
      <c r="C2" s="6" t="s">
        <v>134</v>
      </c>
      <c r="D2" s="6" t="s">
        <v>434</v>
      </c>
      <c r="E2" s="6" t="s">
        <v>170</v>
      </c>
      <c r="F2" s="6" t="s">
        <v>39</v>
      </c>
      <c r="G2" s="6" t="s">
        <v>41</v>
      </c>
      <c r="H2" s="6" t="s">
        <v>229</v>
      </c>
      <c r="I2" s="6" t="s">
        <v>435</v>
      </c>
      <c r="J2" s="6" t="s">
        <v>436</v>
      </c>
      <c r="K2" s="6" t="s">
        <v>437</v>
      </c>
      <c r="L2" s="6" t="s">
        <v>438</v>
      </c>
      <c r="M2" s="6" t="s">
        <v>439</v>
      </c>
      <c r="N2" s="6" t="s">
        <v>440</v>
      </c>
      <c r="O2" s="6" t="s">
        <v>441</v>
      </c>
      <c r="P2" s="6" t="s">
        <v>442</v>
      </c>
    </row>
    <row r="3" spans="1:16" x14ac:dyDescent="0.3">
      <c r="A3" s="6" t="s">
        <v>443</v>
      </c>
      <c r="B3" s="6" t="s">
        <v>444</v>
      </c>
      <c r="C3" s="6" t="s">
        <v>145</v>
      </c>
      <c r="D3" s="6" t="s">
        <v>445</v>
      </c>
      <c r="E3" s="6" t="s">
        <v>446</v>
      </c>
      <c r="F3" s="6" t="s">
        <v>41</v>
      </c>
      <c r="G3" s="6" t="s">
        <v>43</v>
      </c>
      <c r="H3" s="6" t="s">
        <v>447</v>
      </c>
      <c r="I3" s="6" t="s">
        <v>448</v>
      </c>
      <c r="J3" s="6" t="s">
        <v>446</v>
      </c>
      <c r="K3" s="6" t="s">
        <v>449</v>
      </c>
      <c r="L3" s="6" t="s">
        <v>450</v>
      </c>
      <c r="M3" s="6" t="s">
        <v>451</v>
      </c>
      <c r="N3" s="6" t="s">
        <v>452</v>
      </c>
      <c r="O3" s="6" t="s">
        <v>96</v>
      </c>
      <c r="P3" s="6" t="s">
        <v>453</v>
      </c>
    </row>
    <row r="4" spans="1:16" x14ac:dyDescent="0.3">
      <c r="A4" s="6" t="s">
        <v>454</v>
      </c>
      <c r="B4" s="6" t="s">
        <v>455</v>
      </c>
      <c r="C4" s="6" t="s">
        <v>135</v>
      </c>
      <c r="D4" s="6" t="s">
        <v>163</v>
      </c>
      <c r="E4" s="6" t="s">
        <v>456</v>
      </c>
      <c r="F4" s="6" t="s">
        <v>43</v>
      </c>
      <c r="G4" s="6" t="s">
        <v>45</v>
      </c>
      <c r="H4" s="6" t="s">
        <v>457</v>
      </c>
      <c r="L4" s="6" t="s">
        <v>458</v>
      </c>
      <c r="M4" s="6" t="s">
        <v>459</v>
      </c>
      <c r="N4" s="6" t="s">
        <v>230</v>
      </c>
      <c r="O4" s="6" t="s">
        <v>460</v>
      </c>
      <c r="P4" s="6" t="s">
        <v>461</v>
      </c>
    </row>
    <row r="5" spans="1:16" x14ac:dyDescent="0.3">
      <c r="A5" s="6" t="s">
        <v>462</v>
      </c>
      <c r="B5" s="6" t="s">
        <v>463</v>
      </c>
      <c r="C5" s="6" t="s">
        <v>136</v>
      </c>
      <c r="D5" s="6" t="s">
        <v>145</v>
      </c>
      <c r="E5" s="6" t="s">
        <v>464</v>
      </c>
      <c r="F5" s="6" t="s">
        <v>45</v>
      </c>
      <c r="H5" s="6" t="s">
        <v>465</v>
      </c>
      <c r="M5" s="6" t="s">
        <v>466</v>
      </c>
      <c r="N5" s="6" t="s">
        <v>467</v>
      </c>
      <c r="O5" s="6" t="s">
        <v>468</v>
      </c>
    </row>
    <row r="6" spans="1:16" x14ac:dyDescent="0.3">
      <c r="A6" s="6" t="s">
        <v>469</v>
      </c>
      <c r="B6" s="6" t="s">
        <v>137</v>
      </c>
      <c r="C6" s="6" t="s">
        <v>427</v>
      </c>
      <c r="M6" s="6" t="s">
        <v>470</v>
      </c>
      <c r="N6" s="6" t="s">
        <v>471</v>
      </c>
    </row>
    <row r="7" spans="1:16" x14ac:dyDescent="0.3">
      <c r="A7" s="6" t="s">
        <v>472</v>
      </c>
      <c r="B7" s="6" t="s">
        <v>473</v>
      </c>
      <c r="C7" s="6" t="s">
        <v>137</v>
      </c>
      <c r="M7" s="6" t="s">
        <v>474</v>
      </c>
      <c r="N7" s="6" t="s">
        <v>475</v>
      </c>
    </row>
    <row r="8" spans="1:16" x14ac:dyDescent="0.3">
      <c r="A8" s="6" t="s">
        <v>476</v>
      </c>
      <c r="B8" s="6" t="s">
        <v>477</v>
      </c>
      <c r="C8" s="6" t="s">
        <v>138</v>
      </c>
      <c r="M8" s="6" t="s">
        <v>478</v>
      </c>
      <c r="N8" s="6" t="s">
        <v>479</v>
      </c>
    </row>
    <row r="9" spans="1:16" x14ac:dyDescent="0.3">
      <c r="A9" s="6" t="s">
        <v>480</v>
      </c>
      <c r="B9" s="6" t="s">
        <v>481</v>
      </c>
      <c r="C9" s="6" t="s">
        <v>139</v>
      </c>
      <c r="M9" s="6" t="s">
        <v>297</v>
      </c>
    </row>
    <row r="10" spans="1:16" x14ac:dyDescent="0.3">
      <c r="A10" s="6" t="s">
        <v>482</v>
      </c>
      <c r="C10" s="6" t="s">
        <v>140</v>
      </c>
      <c r="M10" s="6" t="s">
        <v>483</v>
      </c>
    </row>
    <row r="11" spans="1:16" x14ac:dyDescent="0.3">
      <c r="A11" s="6" t="s">
        <v>222</v>
      </c>
      <c r="C11" s="6" t="s">
        <v>141</v>
      </c>
      <c r="M11" s="6" t="s">
        <v>332</v>
      </c>
    </row>
    <row r="12" spans="1:16" x14ac:dyDescent="0.3">
      <c r="A12" s="6" t="s">
        <v>484</v>
      </c>
      <c r="C12" s="6" t="s">
        <v>142</v>
      </c>
      <c r="M12" s="6" t="s">
        <v>485</v>
      </c>
    </row>
    <row r="13" spans="1:16" x14ac:dyDescent="0.3">
      <c r="A13" s="6" t="s">
        <v>486</v>
      </c>
      <c r="C13" s="6" t="s">
        <v>143</v>
      </c>
    </row>
    <row r="14" spans="1:16" x14ac:dyDescent="0.3">
      <c r="A14" s="6" t="s">
        <v>94</v>
      </c>
      <c r="C14" s="6" t="s">
        <v>144</v>
      </c>
    </row>
    <row r="15" spans="1:16" x14ac:dyDescent="0.3">
      <c r="A15" s="6" t="s">
        <v>487</v>
      </c>
      <c r="C15" s="6" t="s">
        <v>488</v>
      </c>
    </row>
    <row r="16" spans="1:16" x14ac:dyDescent="0.3">
      <c r="A16" s="6" t="s">
        <v>489</v>
      </c>
    </row>
    <row r="17" spans="1:1" x14ac:dyDescent="0.3">
      <c r="A17" s="6" t="s">
        <v>490</v>
      </c>
    </row>
    <row r="18" spans="1:1" x14ac:dyDescent="0.3">
      <c r="A18" s="6" t="s">
        <v>268</v>
      </c>
    </row>
    <row r="19" spans="1:1" x14ac:dyDescent="0.3">
      <c r="A19" s="6" t="s">
        <v>491</v>
      </c>
    </row>
    <row r="20" spans="1:1" x14ac:dyDescent="0.3">
      <c r="A20" s="6" t="s">
        <v>492</v>
      </c>
    </row>
    <row r="21" spans="1:1" x14ac:dyDescent="0.3">
      <c r="A21" s="6" t="s">
        <v>493</v>
      </c>
    </row>
    <row r="22" spans="1:1" x14ac:dyDescent="0.3">
      <c r="A22" s="6" t="s">
        <v>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0_Instrucoes</vt:lpstr>
      <vt:lpstr>1_Identificacao</vt:lpstr>
      <vt:lpstr>2_Smoke_Test</vt:lpstr>
      <vt:lpstr>3_Revisao_Estatica</vt:lpstr>
      <vt:lpstr>4_Plano_de_Testes</vt:lpstr>
      <vt:lpstr>5_Casos_de_Teste</vt:lpstr>
      <vt:lpstr>6_Bugs</vt:lpstr>
      <vt:lpstr>7_Nao_Funcionais</vt:lpstr>
      <vt:lpstr>8_Caixa_Branca</vt:lpstr>
      <vt:lpstr>9_Automacao</vt:lpstr>
      <vt:lpstr>10_Correcao</vt:lpstr>
      <vt:lpstr>11_Relatorio_Final</vt:lpstr>
      <vt:lpstr>12_Uso_de_IA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Aluno</cp:lastModifiedBy>
  <cp:revision>0</cp:revision>
  <dcterms:created xsi:type="dcterms:W3CDTF">2026-10-28T21:26:22Z</dcterms:created>
  <dcterms:modified xsi:type="dcterms:W3CDTF">2026-10-30T22:31:30Z</dcterms:modified>
  <dc:language>en-US</dc:language>
</cp:coreProperties>
</file>