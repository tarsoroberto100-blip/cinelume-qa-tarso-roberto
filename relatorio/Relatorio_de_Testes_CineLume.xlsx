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1761A50F-B26B-48A0-A26E-2099D6B04481}" xr6:coauthVersionLast="47" xr6:coauthVersionMax="47" xr10:uidLastSave="{00000000-0000-0000-0000-000000000000}"/>
  <bookViews>
    <workbookView xWindow="-108" yWindow="-108" windowWidth="23256" windowHeight="12456" tabRatio="500" firstSheet="5" activeTab="6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<sst xmlns="http://schemas.openxmlformats.org/spreadsheetml/2006/main" count="932" uniqueCount="687">
  <si>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</si>
  <si>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</si>
  <si>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</si>
  <si>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</si>
  <si>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</si>
  <si>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</si>
  <si>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</si>
  <si>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</si>
  <si>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</si>
  <si>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</si>
  <si>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</si>
  <si>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</si>
  <si>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</si>
  <si>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</si>
  <si>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</si>
  <si>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</si>
  <si>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</si>
  <si>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</si>
  <si>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</si>
  <si>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</si>
  <si>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</si>
  <si>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</si>
  <si>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</si>
  <si>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</si>
  <si>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</si>
  <si>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</si>
  <si>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</si>
  <si>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</si>
  <si>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</si>
  <si>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</si>
  <si>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</si>
  <si>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</si>
  <si>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</si>
  <si>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</si>
  <si>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</si>
  <si>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</si>
  <si>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</si>
  <si>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</si>
  <si>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</si>
  <si>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</si>
  <si>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</si>
  <si>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</si>
  <si>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</si>
  <si>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</si>
  <si>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</si>
  <si>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</si>
  <si>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</si>
  <si>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</si>
  <si>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</si>
  <si>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</si>
  <si>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</si>
  <si>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</si>
  <si>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</si>
  <si>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</si>
  <si>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</si>
  <si>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</si>
  <si>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</si>
  <si>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</si>
  <si>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</si>
  <si>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</si>
  <si>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</si>
  <si>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</si>
  <si>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</si>
  <si>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</si>
  <si>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</si>
  <si>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</si>
  <si>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</si>
  <si>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</si>
  <si>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</si>
  <si>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</si>
  <si>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</si>
  <si>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</si>
  <si>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</si>
  <si>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</si>
  <si>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</si>
  <si>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</si>
  <si>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</si>
  <si>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</si>
  <si>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</si>
  <si>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</si>
  <si>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</si>
  <si>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</si>
  <si>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</si>
  <si>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</si>
  <si>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</si>
  <si>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</si>
  <si>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</si>
  <si>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</si>
  <si>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</si>
  <si>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</si>
  <si>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</si>
  <si>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</si>
  <si>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</si>
  <si>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</si>
  <si>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</si>
  <si>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</si>
  <si>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</si>
  <si>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</si>
  <si>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</si>
  <si>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</si>
  <si>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</si>
  <si>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</si>
  <si>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</si>
  <si>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</si>
  <si>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</si>
  <si>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</si>
  <si>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</si>
  <si>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</si>
  <si>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</si>
  <si>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</si>
  <si>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</si>
  <si>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</si>
  <si>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</si>
  <si>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</si>
  <si>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</si>
  <si>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</si>
  <si>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</si>
  <si>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</si>
  <si>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</si>
  <si>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</si>
  <si>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</si>
  <si>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</si>
  <si>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</si>
  <si>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</si>
  <si>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</si>
  <si>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</si>
  <si>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</si>
  <si>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</si>
  <si>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</si>
  <si>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</si>
  <si>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</si>
  <si>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</si>
  <si>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</si>
  <si>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</si>
  <si>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</si>
  <si>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</si>
  <si>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</si>
  <si>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</si>
  <si>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</si>
  <si>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</si>
  <si>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</si>
  <si>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</si>
  <si>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</si>
  <si>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</si>
  <si>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</si>
  <si>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</si>
  <si>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</si>
  <si>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</si>
  <si>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</si>
  <si>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</si>
  <si>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</si>
  <si>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</si>
  <si>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</si>
  <si>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</si>
  <si>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</si>
  <si>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</si>
  <si>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</si>
  <si>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</si>
  <si>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</si>
  <si>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</si>
  <si>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</si>
  <si>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</si>
  <si>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</si>
  <si>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</si>
  <si>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</si>
  <si>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</si>
  <si>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</si>
  <si>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</si>
  <si>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</si>
  <si>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</si>
  <si>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</si>
  <si>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</si>
  <si>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</si>
  <si>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</si>
  <si>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</si>
  <si>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</si>
  <si>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</si>
  <si>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</si>
  <si>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</si>
  <si>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</si>
  <si>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</si>
  <si>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</si>
  <si>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</si>
  <si>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</si>
  <si>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</si>
  <si>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</si>
  <si>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</si>
  <si>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</si>
  <si>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</si>
  <si>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</si>
  <si>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</si>
  <si>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</si>
  <si>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</si>
  <si>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</si>
  <si>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</si>
  <si>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</si>
  <si>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</si>
  <si>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</si>
  <si>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</si>
  <si>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</si>
  <si>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</si>
  <si>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</si>
  <si>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</si>
  <si>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</si>
  <si>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</si>
  <si>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</si>
  <si>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</si>
  <si>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</si>
  <si>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</si>
  <si>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</si>
  <si>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</si>
  <si>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</si>
  <si>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</si>
  <si>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</si>
  <si>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</si>
  <si>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</si>
  <si>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</si>
  <si>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</si>
  <si>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</si>
  <si>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</si>
  <si>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</si>
  <si>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</si>
  <si>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</si>
  <si>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</si>
  <si>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</si>
  <si>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</si>
  <si>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</si>
  <si>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</si>
  <si>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</si>
  <si>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</si>
  <si>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</si>
  <si>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</si>
  <si>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</si>
  <si>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</si>
  <si>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</si>
  <si>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</si>
  <si>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</si>
  <si>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</si>
  <si>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</si>
  <si>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</si>
  <si>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</si>
  <si>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</si>
  <si>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</si>
  <si>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</si>
  <si>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</si>
  <si>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</si>
  <si>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</si>
  <si>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</si>
  <si>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</si>
  <si>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</si>
  <si>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</si>
  <si>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</si>
  <si>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</si>
  <si>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</si>
  <si>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</si>
  <si>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</si>
  <si>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</si>
  <si>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</si>
  <si>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</si>
  <si>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</si>
  <si>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</si>
  <si>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</si>
  <si>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</si>
  <si>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</si>
  <si>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</si>
  <si>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</si>
  <si>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</si>
  <si>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</si>
  <si>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</si>
  <si>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</si>
  <si>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</si>
  <si>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</si>
  <si>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</si>
  <si>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</si>
  <si>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</si>
  <si>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</si>
  <si>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</si>
  <si>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</si>
  <si>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</si>
  <si>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</si>
  <si>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</si>
  <si>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</si>
  <si>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</si>
  <si>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</si>
  <si>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</si>
  <si>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</si>
  <si>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</si>
  <si>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</si>
  <si>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</si>
  <si>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</si>
  <si>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</si>
  <si>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</si>
  <si>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</si>
  <si>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</si>
  <si>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</si>
  <si>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</si>
  <si>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</si>
  <si>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</si>
  <si>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</si>
  <si>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</si>
  <si>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</si>
  <si>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</si>
  <si>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</si>
  <si>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</si>
  <si>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</si>
  <si>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</si>
  <si>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</si>
  <si>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</si>
  <si>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</si>
  <si>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</si>
  <si>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</si>
  <si>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</si>
  <si>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</si>
  <si>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</si>
  <si>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</si>
  <si>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</si>
  <si>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</si>
  <si>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</si>
  <si>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</si>
  <si>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</si>
  <si>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</si>
  <si>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</si>
  <si>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</si>
  <si>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</si>
  <si>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</si>
  <si>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</si>
  <si>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</si>
  <si>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</si>
  <si>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</si>
  <si>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</si>
  <si>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</si>
  <si>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</si>
  <si>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</si>
  <si>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</si>
  <si>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</si>
  <si>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</si>
  <si>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</si>
  <si>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</si>
  <si>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</si>
  <si>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</si>
  <si>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</si>
  <si>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</si>
  <si>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</si>
  <si>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</si>
  <si>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</si>
  <si>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</si>
  <si>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</si>
  <si>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</si>
  <si>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</si>
  <si>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</si>
  <si>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</si>
  <si>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</si>
  <si>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</si>
  <si>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</si>
  <si>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</si>
  <si>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</si>
  <si>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</si>
  <si>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</si>
  <si>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</si>
  <si>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</si>
  <si>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</si>
  <si>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</si>
  <si>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</si>
  <si>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</si>
  <si>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</si>
  <si>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</si>
  <si>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</si>
  <si>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</si>
  <si>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</si>
  <si>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</si>
  <si>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</si>
  <si>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</si>
  <si>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</si>
  <si>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</si>
  <si>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</si>
  <si>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</si>
  <si>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</si>
  <si>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</si>
  <si>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</si>
  <si>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</si>
  <si>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</si>
  <si>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</si>
  <si>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</si>
  <si>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</si>
  <si>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</si>
  <si>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</si>
  <si>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</si>
  <si>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</si>
  <si>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</si>
  <si>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</si>
  <si>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</si>
  <si>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</si>
  <si>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</si>
  <si>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</si>
  <si>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</si>
  <si>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</si>
  <si>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</si>
  <si>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</si>
  <si>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</si>
  <si>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</si>
  <si>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</si>
  <si>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</si>
  <si>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</si>
  <si>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</si>
  <si>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</si>
  <si>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</si>
  <si>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</si>
  <si>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</si>
  <si>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</si>
  <si>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</si>
  <si>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</si>
  <si>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</si>
  <si>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</si>
  <si>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</si>
  <si>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</si>
  <si>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</si>
  <si>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</si>
  <si>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</si>
  <si>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</si>
  <si>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</si>
  <si>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</si>
  <si>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</si>
  <si>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</si>
  <si>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</si>
  <si>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</si>
  <si>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</si>
  <si>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</si>
  <si>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</si>
  <si>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</si>
  <si>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</si>
  <si>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</si>
  <si>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</si>
  <si>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</si>
  <si>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</si>
  <si>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</si>
  <si>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</si>
  <si>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</si>
  <si>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</si>
  <si>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</si>
  <si>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</si>
  <si>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</si>
  <si>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</si>
  <si>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</si>
  <si>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</si>
  <si>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</si>
  <si>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</si>
  <si>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</si>
  <si>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</si>
  <si>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</si>
  <si>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</si>
  <si>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</si>
  <si>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</si>
  <si>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</si>
  <si>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</si>
  <si>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</si>
  <si>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</si>
  <si>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</si>
  <si>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</si>
  <si>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</si>
  <si>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</si>
  <si>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</si>
  <si>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</si>
  <si>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</si>
  <si>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</si>
  <si>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</si>
  <si>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</si>
  <si>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</si>
  <si>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</si>
  <si>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</si>
  <si>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</si>
  <si>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</si>
  <si>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</si>
  <si>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</si>
  <si>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</si>
  <si>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</si>
  <si>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</si>
  <si>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</si>
  <si>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</si>
  <si>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</si>
  <si>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</si>
  <si>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</si>
  <si>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</si>
  <si>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</si>
  <si>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</si>
  <si>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</si>
  <si>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</si>
  <si>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</si>
  <si>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</si>
  <si>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</si>
  <si>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</si>
  <si>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</si>
  <si>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</si>
  <si>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</si>
  <si>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</si>
  <si>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</si>
  <si>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</si>
  <si>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</si>
  <si>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</si>
  <si>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</si>
  <si>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</si>
  <si>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</si>
  <si>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</si>
  <si>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</si>
  <si>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</si>
  <si>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</si>
  <si>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</si>
  <si>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</si>
  <si>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</si>
  <si>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</si>
  <si>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</si>
  <si>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</si>
  <si>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</si>
  <si>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</si>
  <si>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</si>
  <si>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</si>
  <si>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</si>
  <si>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</si>
  <si>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</si>
  <si>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</si>
  <si>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</si>
  <si>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</si>
  <si>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</si>
  <si>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</si>
  <si>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</si>
  <si>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</si>
  <si>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</si>
  <si>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</si>
  <si>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</si>
  <si>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</si>
  <si>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</si>
  <si>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</si>
  <si>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</si>
  <si>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</si>
  <si>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</si>
  <si>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</si>
  <si>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</si>
  <si>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</si>
  <si>
    <t>Ca01.1</t>
  </si>
  <si>
    <t>Cadastro com nome válido</t>
  </si>
  <si>
    <t>Acessar a página de dados do comprador</t>
  </si>
  <si>
    <t>Digitar o nome no campo correspondente/Clicar em avançar</t>
  </si>
  <si>
    <t>nome: joão andrade</t>
  </si>
  <si>
    <t>Campo aceite sem erros</t>
  </si>
  <si>
    <t>Campo aceito e sem mensagens de erro exibidas.</t>
  </si>
  <si>
    <t>ca02.1</t>
  </si>
  <si>
    <t>E-mail válido no cadastro</t>
  </si>
  <si>
    <t>Digitar e-mail correto/Clicar em avançar</t>
  </si>
  <si>
    <t>email: lindo@gmail.com</t>
  </si>
  <si>
    <t>E-mail aceite pelo sistema</t>
  </si>
  <si>
    <t>ca02.2</t>
  </si>
  <si>
    <t>E-mail sem o caractere @</t>
  </si>
  <si>
    <t>Digitar e-mail sem @/Clicar em confirmar</t>
  </si>
  <si>
    <t>email: lindauvo@gmail.coom</t>
  </si>
  <si>
    <t>Mensagem de erro exibida indicando formato inválido</t>
  </si>
  <si>
    <t>ca03.1</t>
  </si>
  <si>
    <t>Seleção de assento livre</t>
  </si>
  <si>
    <t>Estar no mapa de assentos da sessão escolhida</t>
  </si>
  <si>
    <t>Clicar num assento livre (cor verde)/Verificar atualização no resumo</t>
  </si>
  <si>
    <t>assento: B04</t>
  </si>
  <si>
    <t>Assento marcado como selecionado e valor somado</t>
  </si>
  <si>
    <t>ca04.1</t>
  </si>
  <si>
    <t>Tentativa de selecionar assento ocupado</t>
  </si>
  <si>
    <t>Estar no mapa de assentos da sessão</t>
  </si>
  <si>
    <t>Clicar num assento já ocupado (cor vermelha)</t>
  </si>
  <si>
    <t>Assento: A02 (ocupado)</t>
  </si>
  <si>
    <t>Sistema impede a seleção e avisa que o assento está indisponível</t>
  </si>
  <si>
    <t>ca05.1</t>
  </si>
  <si>
    <t>Seleção de modalidade meia-entrada</t>
  </si>
  <si>
    <t>Estar na escolha de tipos de ingressos</t>
  </si>
  <si>
    <t>Selecionar meia-entrada para o ingresso</t>
  </si>
  <si>
    <t>Modalidade: Meia</t>
  </si>
  <si>
    <t>Sistema exige comprovação ou aplica o desconto correto</t>
  </si>
  <si>
    <t>ca06.1</t>
  </si>
  <si>
    <t>Adicionar item da bomboniere</t>
  </si>
  <si>
    <t>Estar na aba da bomboniere</t>
  </si>
  <si>
    <t>Escolher um combo/Clicar em adicionar ao carrinho</t>
  </si>
  <si>
    <t>Item: Pipoca pequena</t>
  </si>
  <si>
    <t>Item adicionado ao carrinho com valor somado ao total</t>
  </si>
  <si>
    <t>ca07.1</t>
  </si>
  <si>
    <t>Aplicação de cupom válido</t>
  </si>
  <si>
    <t>Estar na tela de pagamento com itens no carrinho</t>
  </si>
  <si>
    <t>Digitar cupom ativo/Clicar em aplicar</t>
  </si>
  <si>
    <t>Cupom: CINEMA10</t>
  </si>
  <si>
    <t>Desconto aplicado sobre o valor total da compra</t>
  </si>
  <si>
    <t>ca07.2</t>
  </si>
  <si>
    <t>Aplicação de cupom inválido</t>
  </si>
  <si>
    <t>Estar na tela de pagamento</t>
  </si>
  <si>
    <t>Digitar cupom inexistente\n2. Clicar em aplicar</t>
  </si>
  <si>
    <t>Cupom: INVALIDO99</t>
  </si>
  <si>
    <t>Mensagem de erro informando que o cupom é inválido</t>
  </si>
  <si>
    <t>ca08.1</t>
  </si>
  <si>
    <t>Pagamento com cartão de crédito</t>
  </si>
  <si>
    <t>Estar na etapa final de pagamento</t>
  </si>
  <si>
    <t>Selecionar cartão/Preencher dados válidos/ Finalizar</t>
  </si>
  <si>
    <t>Dados de cartão válidos</t>
  </si>
  <si>
    <t>Compra aprovada e redirecionamento para confirmação</t>
  </si>
  <si>
    <t>ca01.2</t>
  </si>
  <si>
    <t>Nome com 1 caractere (abaixo do limite)</t>
  </si>
  <si>
    <t>Estar no cadastro</t>
  </si>
  <si>
    <t>Digitar nome com 1 letra/Avançar</t>
  </si>
  <si>
    <t>Nome: B</t>
  </si>
  <si>
    <t>Sistema rejeita por não atingir o limite mínimo</t>
  </si>
  <si>
    <t>ca01.3</t>
  </si>
  <si>
    <t>Nome com 2 caracteres (limite mínimo exato)</t>
  </si>
  <si>
    <t>Digitar nome com 2 letras/Avançar</t>
  </si>
  <si>
    <t>Nome: Je</t>
  </si>
  <si>
    <t>Sistema aceita o campo por atingir o limite mínimo</t>
  </si>
  <si>
    <t>ca09.1</t>
  </si>
  <si>
    <t>Selecionar zero ingressos</t>
  </si>
  <si>
    <t>Estar na selecção de bilhetes</t>
  </si>
  <si>
    <t>Manter quantidade de ingressos em 0/ Tentar prosseguir</t>
  </si>
  <si>
    <t>Quantidade: 0</t>
  </si>
  <si>
    <t>Sistema impede o avanço e exige pelo menos 1 ingresso</t>
  </si>
  <si>
    <t>ca10.1</t>
  </si>
  <si>
    <t>Quantidade máxima permitida de ingressos</t>
  </si>
  <si>
    <t>Selecionar o limite máximo de assentos permitidos</t>
  </si>
  <si>
    <t>Quantidade: 10 ingressos</t>
  </si>
  <si>
    <t>Sistema aceita a seleção até ao limite máximo</t>
  </si>
  <si>
    <t>ca10.2</t>
  </si>
  <si>
    <t>Quantidade acima do máximo permitido</t>
  </si>
  <si>
    <t>Selecionar quantidade acima do teto permitido</t>
  </si>
  <si>
    <t>Quantidade: 11 ingressos</t>
  </si>
  <si>
    <t>Sistema bloqueia e exibe aviso sobre o limite máximo</t>
  </si>
  <si>
    <t>E-mail validado e aceito pelo sistema.</t>
  </si>
  <si>
    <t>Mensagem "Informe um e-mail válido" exibida corretamente.</t>
  </si>
  <si>
    <t>Assento selecionado e valor somado ao resumo.</t>
  </si>
  <si>
    <t>Sistema bloqueou a seleção de assento ocupado.</t>
  </si>
  <si>
    <t>Modalidade meia-entrada aplicada corretamente.</t>
  </si>
  <si>
    <t>Item adicionado ao carrinho com valor correto.</t>
  </si>
  <si>
    <t>Desconto do cupom aplicado no valor total.</t>
  </si>
  <si>
    <t>Aviso de cupom inválido exibido com sucesso.</t>
  </si>
  <si>
    <t>Pagamento processado e tela de confirmação exibida.</t>
  </si>
  <si>
    <t>Sistema rejeitou o cadastro por tamanho inválido.</t>
  </si>
  <si>
    <t>Sistema aceitou o nome no limite mínimo.</t>
  </si>
  <si>
    <t>Sistema impediu o avanço com 0 ingressos.</t>
  </si>
  <si>
    <t>Seleção permitida até o teto máximo de assentos.</t>
  </si>
  <si>
    <t>Sistema bloqueou a seleção acima do limite e exibiu aviso.</t>
  </si>
  <si>
    <t>evidencia_ct01.png</t>
  </si>
  <si>
    <t>evidencia_ct02.png</t>
  </si>
  <si>
    <t>evidencia_ct03.png</t>
  </si>
  <si>
    <t>evidencia_ct04.png</t>
  </si>
  <si>
    <t>evidencia_ct05.png</t>
  </si>
  <si>
    <t>evidencia_ct06.png</t>
  </si>
  <si>
    <t>evidencia_ct07.png</t>
  </si>
  <si>
    <t>evidencia_ct08.png</t>
  </si>
  <si>
    <t>evidencia_ct09.png</t>
  </si>
  <si>
    <t>evidencia_ct10.png</t>
  </si>
  <si>
    <t>evidencia_ct11.png</t>
  </si>
  <si>
    <t>evidencia_ct12.png</t>
  </si>
  <si>
    <t>evidencia_ct13.png</t>
  </si>
  <si>
    <t>evidencia_ct14.png</t>
  </si>
  <si>
    <t>evidencia_ct15.png</t>
  </si>
  <si>
    <t>Erro no cálculo do valor total ao selecionar múltiplos assentos</t>
  </si>
  <si>
    <t>Aceder à sessão/Selecionar 2 assentos normais/ Verificar o valor total no resumo do carrinho</t>
  </si>
  <si>
    <t>Assentos: B04 e B05</t>
  </si>
  <si>
    <t>O valor total deve somar exatamente o preço de dois ingressos.</t>
  </si>
  <si>
    <t>O sistema soma apenas o valor de um único ingresso no total do carrinho.</t>
  </si>
  <si>
    <t>Campo de e-mail aceita caracteres inválidos sem o símbolo @</t>
  </si>
  <si>
    <t>Chegar à etapa de dados do comprador/ Digitar um e-mail sem o caractere '@'/Clicar em avançar</t>
  </si>
  <si>
    <t>E-mail: lindoemail.com</t>
  </si>
  <si>
    <t>O sistema deve bloquear e exibir mensagem de formato inválido.</t>
  </si>
  <si>
    <t>O sistema aceita o avanço sem validar o formato do e-mail.</t>
  </si>
  <si>
    <t>Possibilidade de selecionar assento já ocupado</t>
  </si>
  <si>
    <t>Abrir o mapa de assentos/Clicar diretamente num assento marcado como ocupado</t>
  </si>
  <si>
    <t>Assento: A01 (ocupado)</t>
  </si>
  <si>
    <t>O sistema deve impedir a marcação e emitir aviso de indisponibilidade.</t>
  </si>
  <si>
    <t>O assento ocupado fica selecionado e é contabilizado na compra.</t>
  </si>
  <si>
    <t>Cupom de desconto expirado é aplicado com sucesso</t>
  </si>
  <si>
    <t>Ir para a tela de pagamento/ Inserir um cupom com data de validade vencida/Clicar em aplicar</t>
  </si>
  <si>
    <t>Cupom: PROMO2023</t>
  </si>
  <si>
    <t>O sistema deve recusar o cupom e exibir mensagem de expiração.</t>
  </si>
  <si>
    <t>O desconto é aplicado normalmente no valor final da compra.</t>
  </si>
  <si>
    <t>Estouro de limite máximo de ingressos por transação</t>
  </si>
  <si>
    <t>Na seleção de bilhetes, escolher 11 assentos/ Tentar prosseguir</t>
  </si>
  <si>
    <t>O sistema deve bloquear e alertar sobre o limite máximo por compra.</t>
  </si>
  <si>
    <t>O sistema permite prosseguir para o pagamento sem restrições.</t>
  </si>
  <si>
    <t>Falha de responsividade no botão de confirmação em telas menores</t>
  </si>
  <si>
    <t>Reduzir a janela do navegador para tamanho mobile/ Aceder à tela de finalização</t>
  </si>
  <si>
    <t>Resolução simulada de telemóvel</t>
  </si>
  <si>
    <t>O botão de confirmar pagamento deve adaptar-se visivelmente ao ecrã.</t>
  </si>
  <si>
    <t>O botão fica parcialmente oculto fora da área visível do ecrã.</t>
  </si>
  <si>
    <t>bug_01.png</t>
  </si>
  <si>
    <t>bug_02.png</t>
  </si>
  <si>
    <t>bug_03.png</t>
  </si>
  <si>
    <t>bug_04.png</t>
  </si>
  <si>
    <t>bug_05.png</t>
  </si>
  <si>
    <t>bug_06.png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</si>
</sst>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20" t="s">
        <v>497</v>
      </c>
      <c r="C6" s="9" t="s">
        <v>52</v>
      </c>
    </row>
    <row r="7" spans="1:3" x14ac:dyDescent="0.3">
      <c r="A7" s="7" t="s">
        <v>53</v>
      </c>
      <c r="B7" s="21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22" t="s">
        <v>499</v>
      </c>
      <c r="C9" s="9" t="s">
        <v>58</v>
      </c>
    </row>
    <row r="10" spans="1:3" x14ac:dyDescent="0.3">
      <c r="A10" s="7" t="s">
        <v>59</v>
      </c>
      <c r="B10" s="23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22" t="s">
        <v>500</v>
      </c>
      <c r="D5" s="22" t="s">
        <v>501</v>
      </c>
    </row>
    <row r="6" spans="1:4" x14ac:dyDescent="0.3">
      <c r="A6" s="7" t="s">
        <v>70</v>
      </c>
      <c r="B6" s="11" t="s">
        <v>71</v>
      </c>
      <c r="C6" s="22" t="s">
        <v>500</v>
      </c>
      <c r="D6" s="22" t="s">
        <v>502</v>
      </c>
    </row>
    <row r="7" spans="1:4" x14ac:dyDescent="0.3">
      <c r="A7" s="7" t="s">
        <v>72</v>
      </c>
      <c r="B7" s="11" t="s">
        <v>73</v>
      </c>
      <c r="C7" s="22" t="s">
        <v>500</v>
      </c>
      <c r="D7" s="22" t="s">
        <v>503</v>
      </c>
    </row>
    <row r="8" spans="1:4" x14ac:dyDescent="0.3">
      <c r="A8" s="7" t="s">
        <v>74</v>
      </c>
      <c r="B8" s="11" t="s">
        <v>75</v>
      </c>
      <c r="C8" s="22" t="s">
        <v>500</v>
      </c>
      <c r="D8" s="22" t="s">
        <v>504</v>
      </c>
    </row>
    <row r="9" spans="1:4" x14ac:dyDescent="0.3">
      <c r="A9" s="7" t="s">
        <v>76</v>
      </c>
      <c r="B9" s="11" t="s">
        <v>77</v>
      </c>
      <c r="C9" s="22" t="s">
        <v>500</v>
      </c>
      <c r="D9" s="22" t="s">
        <v>505</v>
      </c>
    </row>
    <row r="10" spans="1:4" x14ac:dyDescent="0.3">
      <c r="A10" s="7" t="s">
        <v>78</v>
      </c>
      <c r="B10" s="11" t="s">
        <v>79</v>
      </c>
      <c r="C10" s="22" t="s">
        <v>500</v>
      </c>
      <c r="D10" s="22" t="s">
        <v>506</v>
      </c>
    </row>
    <row r="11" spans="1:4" x14ac:dyDescent="0.3">
      <c r="A11" s="7" t="s">
        <v>80</v>
      </c>
      <c r="B11" s="11" t="s">
        <v>81</v>
      </c>
      <c r="C11" s="22" t="s">
        <v>500</v>
      </c>
      <c r="D11" s="22" t="s">
        <v>507</v>
      </c>
    </row>
    <row r="12" spans="1:4" x14ac:dyDescent="0.3">
      <c r="A12" s="7" t="s">
        <v>82</v>
      </c>
      <c r="B12" s="11" t="s">
        <v>83</v>
      </c>
      <c r="C12" s="22" t="s">
        <v>500</v>
      </c>
      <c r="D12" s="22" t="s">
        <v>508</v>
      </c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1" t="s">
        <v>86</v>
      </c>
    </row>
    <row r="2" spans="1:6" x14ac:dyDescent="0.3">
      <c r="A2" s="2" t="s">
        <v>87</v>
      </c>
    </row>
    <row r="4" spans="1:6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6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6" ht="39.6" x14ac:dyDescent="0.3">
      <c r="A6" s="7" t="s">
        <v>99</v>
      </c>
      <c r="B6" s="22" t="s">
        <v>433</v>
      </c>
      <c r="C6" s="22" t="s">
        <v>510</v>
      </c>
      <c r="D6" s="8" t="s">
        <v>96</v>
      </c>
      <c r="E6" s="22" t="s">
        <v>511</v>
      </c>
      <c r="F6" s="22" t="s">
        <v>512</v>
      </c>
    </row>
    <row r="7" spans="1:6" ht="39.6" x14ac:dyDescent="0.3">
      <c r="A7" s="7" t="s">
        <v>100</v>
      </c>
      <c r="B7" s="8" t="s">
        <v>443</v>
      </c>
      <c r="C7" s="22" t="s">
        <v>518</v>
      </c>
      <c r="D7" s="8" t="s">
        <v>441</v>
      </c>
      <c r="E7" s="22" t="s">
        <v>513</v>
      </c>
      <c r="F7" s="22" t="s">
        <v>514</v>
      </c>
    </row>
    <row r="8" spans="1:6" x14ac:dyDescent="0.3">
      <c r="A8" s="7" t="s">
        <v>101</v>
      </c>
      <c r="B8" s="8"/>
      <c r="C8" s="8"/>
      <c r="D8" s="8"/>
      <c r="E8" s="8"/>
      <c r="F8" s="8"/>
    </row>
    <row r="9" spans="1:6" x14ac:dyDescent="0.3">
      <c r="A9" s="7" t="s">
        <v>102</v>
      </c>
      <c r="B9" s="8"/>
      <c r="C9" s="8"/>
      <c r="D9" s="8"/>
      <c r="E9" s="8"/>
      <c r="F9" s="8"/>
    </row>
    <row r="10" spans="1:6" x14ac:dyDescent="0.3">
      <c r="A10" s="7" t="s">
        <v>103</v>
      </c>
      <c r="B10" s="8"/>
      <c r="C10" s="8"/>
      <c r="D10" s="8"/>
      <c r="E10" s="8"/>
      <c r="F10" s="8"/>
    </row>
    <row r="11" spans="1:6" x14ac:dyDescent="0.3">
      <c r="A11" s="7" t="s">
        <v>104</v>
      </c>
      <c r="B11" s="8"/>
      <c r="C11" s="8"/>
      <c r="D11" s="8"/>
      <c r="E11" s="8"/>
      <c r="F11" s="8"/>
    </row>
    <row r="12" spans="1:6" x14ac:dyDescent="0.3">
      <c r="A12" s="7" t="s">
        <v>105</v>
      </c>
      <c r="B12" s="8"/>
      <c r="C12" s="8"/>
      <c r="D12" s="8"/>
      <c r="E12" s="8"/>
      <c r="F12" s="8"/>
    </row>
    <row r="13" spans="1:6" x14ac:dyDescent="0.3">
      <c r="A13" s="7" t="s">
        <v>106</v>
      </c>
      <c r="B13" s="8"/>
      <c r="C13" s="8"/>
      <c r="D13" s="8"/>
      <c r="E13" s="8"/>
      <c r="F13" s="8"/>
    </row>
    <row r="14" spans="1:6" x14ac:dyDescent="0.3">
      <c r="A14" s="7" t="s">
        <v>107</v>
      </c>
      <c r="B14" s="8"/>
      <c r="C14" s="8"/>
      <c r="D14" s="8"/>
      <c r="E14" s="8"/>
      <c r="F14" s="8"/>
    </row>
    <row r="15" spans="1:6" x14ac:dyDescent="0.3">
      <c r="A15" s="7" t="s">
        <v>108</v>
      </c>
      <c r="B15" s="8"/>
      <c r="C15" s="8"/>
      <c r="D15" s="8"/>
      <c r="E15" s="8"/>
      <c r="F1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6" zoomScaleNormal="100" workbookViewId="0">
      <selection activeCell="C29" sqref="C29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2" t="s">
        <v>515</v>
      </c>
    </row>
    <row r="5" spans="1:3" ht="42" customHeight="1" x14ac:dyDescent="0.3">
      <c r="A5" s="7" t="s">
        <v>112</v>
      </c>
      <c r="B5" s="22" t="s">
        <v>516</v>
      </c>
      <c r="C5" s="9" t="s">
        <v>113</v>
      </c>
    </row>
    <row r="6" spans="1:3" ht="42" customHeight="1" x14ac:dyDescent="0.3">
      <c r="A6" s="7" t="s">
        <v>114</v>
      </c>
      <c r="B6" s="22" t="s">
        <v>517</v>
      </c>
    </row>
    <row r="7" spans="1:3" ht="42" customHeight="1" x14ac:dyDescent="0.3">
      <c r="A7" s="7" t="s">
        <v>115</v>
      </c>
      <c r="B7" s="8" t="s">
        <v>442</v>
      </c>
      <c r="C7" s="9" t="s">
        <v>116</v>
      </c>
    </row>
    <row r="8" spans="1:3" ht="42" customHeight="1" x14ac:dyDescent="0.3">
      <c r="A8" s="7" t="s">
        <v>117</v>
      </c>
      <c r="B8" s="22" t="s">
        <v>519</v>
      </c>
    </row>
    <row r="9" spans="1:3" ht="42" customHeight="1" x14ac:dyDescent="0.3">
      <c r="A9" s="7" t="s">
        <v>118</v>
      </c>
      <c r="B9" s="22" t="s">
        <v>515</v>
      </c>
      <c r="C9" s="9" t="s">
        <v>119</v>
      </c>
    </row>
    <row r="10" spans="1:3" ht="42" customHeight="1" x14ac:dyDescent="0.3">
      <c r="A10" s="7" t="s">
        <v>120</v>
      </c>
      <c r="B10" s="22" t="s">
        <v>520</v>
      </c>
      <c r="C10" s="9" t="s">
        <v>121</v>
      </c>
    </row>
    <row r="11" spans="1:3" ht="42" customHeight="1" x14ac:dyDescent="0.3">
      <c r="A11" s="7" t="s">
        <v>122</v>
      </c>
      <c r="B11" s="22" t="s">
        <v>521</v>
      </c>
      <c r="C11" s="9" t="s">
        <v>123</v>
      </c>
    </row>
    <row r="12" spans="1:3" ht="42" customHeight="1" x14ac:dyDescent="0.3">
      <c r="A12" s="7" t="s">
        <v>124</v>
      </c>
      <c r="B12" s="22" t="s">
        <v>522</v>
      </c>
      <c r="C12" s="9" t="s">
        <v>125</v>
      </c>
    </row>
    <row r="13" spans="1:3" ht="42" customHeight="1" x14ac:dyDescent="0.3">
      <c r="A13" s="7" t="s">
        <v>126</v>
      </c>
      <c r="B13" s="22" t="s">
        <v>523</v>
      </c>
      <c r="C13" s="9" t="s">
        <v>127</v>
      </c>
    </row>
    <row r="14" spans="1:3" ht="42" customHeight="1" x14ac:dyDescent="0.3">
      <c r="A14" s="7" t="s">
        <v>128</v>
      </c>
      <c r="B14" s="22" t="s">
        <v>524</v>
      </c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22" t="s">
        <v>435</v>
      </c>
      <c r="C19" s="22" t="s">
        <v>525</v>
      </c>
    </row>
    <row r="20" spans="1:3" ht="26.4" x14ac:dyDescent="0.3">
      <c r="A20" s="12" t="s">
        <v>135</v>
      </c>
      <c r="B20" s="8" t="s">
        <v>435</v>
      </c>
      <c r="C20" s="22" t="s">
        <v>526</v>
      </c>
    </row>
    <row r="21" spans="1:3" x14ac:dyDescent="0.3">
      <c r="A21" s="12" t="s">
        <v>136</v>
      </c>
      <c r="B21" s="8" t="s">
        <v>435</v>
      </c>
      <c r="C21" s="22" t="s">
        <v>527</v>
      </c>
    </row>
    <row r="22" spans="1:3" ht="26.4" x14ac:dyDescent="0.3">
      <c r="A22" s="12" t="s">
        <v>137</v>
      </c>
      <c r="B22" s="8" t="s">
        <v>435</v>
      </c>
      <c r="C22" s="22" t="s">
        <v>528</v>
      </c>
    </row>
    <row r="23" spans="1:3" ht="26.4" x14ac:dyDescent="0.3">
      <c r="A23" s="12" t="s">
        <v>138</v>
      </c>
      <c r="B23" s="8" t="s">
        <v>435</v>
      </c>
      <c r="C23" s="22" t="s">
        <v>530</v>
      </c>
    </row>
    <row r="24" spans="1:3" x14ac:dyDescent="0.3">
      <c r="A24" s="12" t="s">
        <v>139</v>
      </c>
      <c r="B24" s="8" t="s">
        <v>448</v>
      </c>
      <c r="C24" s="22" t="s">
        <v>531</v>
      </c>
    </row>
    <row r="25" spans="1:3" ht="26.4" x14ac:dyDescent="0.3">
      <c r="A25" s="12" t="s">
        <v>140</v>
      </c>
      <c r="B25" s="8" t="s">
        <v>435</v>
      </c>
      <c r="C25" s="22" t="s">
        <v>532</v>
      </c>
    </row>
    <row r="26" spans="1:3" x14ac:dyDescent="0.3">
      <c r="A26" s="12" t="s">
        <v>141</v>
      </c>
      <c r="B26" s="8" t="s">
        <v>448</v>
      </c>
      <c r="C26" s="22" t="s">
        <v>533</v>
      </c>
    </row>
    <row r="27" spans="1:3" ht="26.4" x14ac:dyDescent="0.3">
      <c r="A27" s="12" t="s">
        <v>142</v>
      </c>
      <c r="B27" s="8" t="s">
        <v>435</v>
      </c>
      <c r="C27" s="22" t="s">
        <v>534</v>
      </c>
    </row>
    <row r="28" spans="1:3" ht="26.4" x14ac:dyDescent="0.3">
      <c r="A28" s="12" t="s">
        <v>143</v>
      </c>
      <c r="B28" s="8" t="s">
        <v>435</v>
      </c>
      <c r="C28" s="22" t="s">
        <v>535</v>
      </c>
    </row>
    <row r="29" spans="1:3" ht="26.4" x14ac:dyDescent="0.3">
      <c r="A29" s="12" t="s">
        <v>144</v>
      </c>
      <c r="B29" s="8" t="s">
        <v>435</v>
      </c>
      <c r="C29" s="22" t="s">
        <v>536</v>
      </c>
    </row>
    <row r="30" spans="1:3" ht="26.4" x14ac:dyDescent="0.3">
      <c r="A30" s="12" t="s">
        <v>145</v>
      </c>
      <c r="B30" s="8" t="s">
        <v>435</v>
      </c>
      <c r="C30" s="22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P13" sqref="P13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10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2" t="s">
        <v>537</v>
      </c>
      <c r="D6" s="8" t="s">
        <v>162</v>
      </c>
      <c r="E6" s="8" t="s">
        <v>134</v>
      </c>
      <c r="F6" s="8" t="s">
        <v>163</v>
      </c>
      <c r="G6" s="22" t="s">
        <v>538</v>
      </c>
      <c r="H6" s="22" t="s">
        <v>539</v>
      </c>
      <c r="I6" s="22" t="s">
        <v>540</v>
      </c>
      <c r="J6" s="22" t="s">
        <v>541</v>
      </c>
      <c r="K6" s="22" t="s">
        <v>542</v>
      </c>
      <c r="L6" s="22" t="s">
        <v>543</v>
      </c>
      <c r="M6" s="8" t="s">
        <v>170</v>
      </c>
      <c r="N6" s="8"/>
      <c r="O6" s="8" t="s">
        <v>637</v>
      </c>
    </row>
    <row r="7" spans="1:15" ht="26.4" x14ac:dyDescent="0.3">
      <c r="A7" s="7" t="s">
        <v>172</v>
      </c>
      <c r="B7" s="8" t="s">
        <v>443</v>
      </c>
      <c r="C7" s="22" t="s">
        <v>544</v>
      </c>
      <c r="D7" s="8" t="s">
        <v>162</v>
      </c>
      <c r="E7" s="8" t="s">
        <v>134</v>
      </c>
      <c r="F7" s="8" t="s">
        <v>163</v>
      </c>
      <c r="G7" s="22" t="s">
        <v>545</v>
      </c>
      <c r="H7" s="8" t="s">
        <v>539</v>
      </c>
      <c r="I7" s="8" t="s">
        <v>546</v>
      </c>
      <c r="J7" s="8" t="s">
        <v>547</v>
      </c>
      <c r="K7" s="8" t="s">
        <v>548</v>
      </c>
      <c r="L7" s="8" t="s">
        <v>623</v>
      </c>
      <c r="M7" s="8" t="s">
        <v>170</v>
      </c>
      <c r="N7" s="8"/>
      <c r="O7" s="8" t="s">
        <v>638</v>
      </c>
    </row>
    <row r="8" spans="1:15" ht="26.4" x14ac:dyDescent="0.3">
      <c r="A8" s="7" t="s">
        <v>173</v>
      </c>
      <c r="B8" s="8" t="s">
        <v>443</v>
      </c>
      <c r="C8" s="8" t="s">
        <v>549</v>
      </c>
      <c r="D8" s="8" t="s">
        <v>162</v>
      </c>
      <c r="E8" s="8" t="s">
        <v>134</v>
      </c>
      <c r="F8" s="8" t="s">
        <v>163</v>
      </c>
      <c r="G8" s="8" t="s">
        <v>550</v>
      </c>
      <c r="H8" s="8" t="s">
        <v>539</v>
      </c>
      <c r="I8" s="8" t="s">
        <v>551</v>
      </c>
      <c r="J8" s="8" t="s">
        <v>552</v>
      </c>
      <c r="K8" s="8" t="s">
        <v>553</v>
      </c>
      <c r="L8" s="8" t="s">
        <v>624</v>
      </c>
      <c r="M8" s="8" t="s">
        <v>170</v>
      </c>
      <c r="N8" s="8"/>
      <c r="O8" s="8" t="s">
        <v>639</v>
      </c>
    </row>
    <row r="9" spans="1:15" ht="26.4" x14ac:dyDescent="0.3">
      <c r="A9" s="7" t="s">
        <v>174</v>
      </c>
      <c r="B9" s="8" t="s">
        <v>454</v>
      </c>
      <c r="C9" s="8" t="s">
        <v>554</v>
      </c>
      <c r="D9" s="8" t="s">
        <v>162</v>
      </c>
      <c r="E9" s="8" t="s">
        <v>134</v>
      </c>
      <c r="F9" s="8" t="s">
        <v>163</v>
      </c>
      <c r="G9" s="8" t="s">
        <v>555</v>
      </c>
      <c r="H9" s="8" t="s">
        <v>556</v>
      </c>
      <c r="I9" s="8" t="s">
        <v>557</v>
      </c>
      <c r="J9" s="8" t="s">
        <v>558</v>
      </c>
      <c r="K9" s="8" t="s">
        <v>559</v>
      </c>
      <c r="L9" s="8" t="s">
        <v>625</v>
      </c>
      <c r="M9" s="8" t="s">
        <v>170</v>
      </c>
      <c r="N9" s="8"/>
      <c r="O9" s="8" t="s">
        <v>640</v>
      </c>
    </row>
    <row r="10" spans="1:15" ht="26.4" x14ac:dyDescent="0.3">
      <c r="A10" s="7" t="s">
        <v>175</v>
      </c>
      <c r="B10" s="8" t="s">
        <v>462</v>
      </c>
      <c r="C10" s="8" t="s">
        <v>560</v>
      </c>
      <c r="D10" s="8" t="s">
        <v>162</v>
      </c>
      <c r="E10" s="8" t="s">
        <v>134</v>
      </c>
      <c r="F10" s="8" t="s">
        <v>163</v>
      </c>
      <c r="G10" s="8" t="s">
        <v>561</v>
      </c>
      <c r="H10" s="8" t="s">
        <v>562</v>
      </c>
      <c r="I10" s="8" t="s">
        <v>563</v>
      </c>
      <c r="J10" s="8" t="s">
        <v>564</v>
      </c>
      <c r="K10" s="8" t="s">
        <v>565</v>
      </c>
      <c r="L10" s="8" t="s">
        <v>626</v>
      </c>
      <c r="M10" s="8" t="s">
        <v>170</v>
      </c>
      <c r="N10" s="8"/>
      <c r="O10" s="8" t="s">
        <v>641</v>
      </c>
    </row>
    <row r="11" spans="1:15" ht="26.4" x14ac:dyDescent="0.3">
      <c r="A11" s="7" t="s">
        <v>176</v>
      </c>
      <c r="B11" s="8" t="s">
        <v>469</v>
      </c>
      <c r="C11" s="8" t="s">
        <v>566</v>
      </c>
      <c r="D11" s="8" t="s">
        <v>162</v>
      </c>
      <c r="E11" s="8" t="s">
        <v>134</v>
      </c>
      <c r="F11" s="8" t="s">
        <v>163</v>
      </c>
      <c r="G11" s="8" t="s">
        <v>567</v>
      </c>
      <c r="H11" s="8" t="s">
        <v>568</v>
      </c>
      <c r="I11" s="8" t="s">
        <v>569</v>
      </c>
      <c r="J11" s="8" t="s">
        <v>570</v>
      </c>
      <c r="K11" s="8" t="s">
        <v>571</v>
      </c>
      <c r="L11" s="8" t="s">
        <v>627</v>
      </c>
      <c r="M11" s="8" t="s">
        <v>170</v>
      </c>
      <c r="N11" s="8"/>
      <c r="O11" s="8" t="s">
        <v>642</v>
      </c>
    </row>
    <row r="12" spans="1:15" ht="26.4" x14ac:dyDescent="0.3">
      <c r="A12" s="7" t="s">
        <v>177</v>
      </c>
      <c r="B12" s="8" t="s">
        <v>472</v>
      </c>
      <c r="C12" s="8" t="s">
        <v>572</v>
      </c>
      <c r="D12" s="8" t="s">
        <v>162</v>
      </c>
      <c r="E12" s="8" t="s">
        <v>134</v>
      </c>
      <c r="F12" s="8" t="s">
        <v>163</v>
      </c>
      <c r="G12" s="8" t="s">
        <v>573</v>
      </c>
      <c r="H12" s="8" t="s">
        <v>574</v>
      </c>
      <c r="I12" s="8" t="s">
        <v>575</v>
      </c>
      <c r="J12" s="8" t="s">
        <v>576</v>
      </c>
      <c r="K12" s="8" t="s">
        <v>577</v>
      </c>
      <c r="L12" s="8" t="s">
        <v>628</v>
      </c>
      <c r="M12" s="8" t="s">
        <v>170</v>
      </c>
      <c r="N12" s="8"/>
      <c r="O12" s="8" t="s">
        <v>643</v>
      </c>
    </row>
    <row r="13" spans="1:15" ht="26.4" x14ac:dyDescent="0.3">
      <c r="A13" s="7" t="s">
        <v>178</v>
      </c>
      <c r="B13" s="8" t="s">
        <v>476</v>
      </c>
      <c r="C13" s="8" t="s">
        <v>578</v>
      </c>
      <c r="D13" s="8" t="s">
        <v>162</v>
      </c>
      <c r="E13" s="8" t="s">
        <v>134</v>
      </c>
      <c r="F13" s="8" t="s">
        <v>163</v>
      </c>
      <c r="G13" s="8" t="s">
        <v>579</v>
      </c>
      <c r="H13" s="8" t="s">
        <v>580</v>
      </c>
      <c r="I13" s="8" t="s">
        <v>581</v>
      </c>
      <c r="J13" s="8" t="s">
        <v>582</v>
      </c>
      <c r="K13" s="8" t="s">
        <v>583</v>
      </c>
      <c r="L13" s="8" t="s">
        <v>629</v>
      </c>
      <c r="M13" s="8" t="s">
        <v>170</v>
      </c>
      <c r="N13" s="8"/>
      <c r="O13" s="8" t="s">
        <v>644</v>
      </c>
    </row>
    <row r="14" spans="1:15" ht="26.4" x14ac:dyDescent="0.3">
      <c r="A14" s="7" t="s">
        <v>179</v>
      </c>
      <c r="B14" s="8" t="s">
        <v>476</v>
      </c>
      <c r="C14" s="8" t="s">
        <v>584</v>
      </c>
      <c r="D14" s="8" t="s">
        <v>162</v>
      </c>
      <c r="E14" s="8" t="s">
        <v>134</v>
      </c>
      <c r="F14" s="8" t="s">
        <v>163</v>
      </c>
      <c r="G14" s="8" t="s">
        <v>585</v>
      </c>
      <c r="H14" s="8" t="s">
        <v>586</v>
      </c>
      <c r="I14" s="8" t="s">
        <v>587</v>
      </c>
      <c r="J14" s="8" t="s">
        <v>588</v>
      </c>
      <c r="K14" s="8" t="s">
        <v>589</v>
      </c>
      <c r="L14" s="8" t="s">
        <v>630</v>
      </c>
      <c r="M14" s="8" t="s">
        <v>170</v>
      </c>
      <c r="N14" s="8"/>
      <c r="O14" s="8" t="s">
        <v>645</v>
      </c>
    </row>
    <row r="15" spans="1:15" ht="26.4" x14ac:dyDescent="0.3">
      <c r="A15" s="7" t="s">
        <v>180</v>
      </c>
      <c r="B15" s="8" t="s">
        <v>480</v>
      </c>
      <c r="C15" s="8" t="s">
        <v>590</v>
      </c>
      <c r="D15" s="8" t="s">
        <v>162</v>
      </c>
      <c r="E15" s="8" t="s">
        <v>134</v>
      </c>
      <c r="F15" s="8" t="s">
        <v>163</v>
      </c>
      <c r="G15" s="8" t="s">
        <v>591</v>
      </c>
      <c r="H15" s="8" t="s">
        <v>592</v>
      </c>
      <c r="I15" s="8" t="s">
        <v>593</v>
      </c>
      <c r="J15" s="8" t="s">
        <v>594</v>
      </c>
      <c r="K15" s="8" t="s">
        <v>595</v>
      </c>
      <c r="L15" s="8" t="s">
        <v>631</v>
      </c>
      <c r="M15" s="8" t="s">
        <v>170</v>
      </c>
      <c r="N15" s="8"/>
      <c r="O15" s="8" t="s">
        <v>646</v>
      </c>
    </row>
    <row r="16" spans="1:15" ht="26.4" x14ac:dyDescent="0.3">
      <c r="A16" s="7" t="s">
        <v>181</v>
      </c>
      <c r="B16" s="8" t="s">
        <v>433</v>
      </c>
      <c r="C16" s="8" t="s">
        <v>596</v>
      </c>
      <c r="D16" s="8" t="s">
        <v>444</v>
      </c>
      <c r="E16" s="8" t="s">
        <v>134</v>
      </c>
      <c r="F16" s="8" t="s">
        <v>163</v>
      </c>
      <c r="G16" s="8" t="s">
        <v>597</v>
      </c>
      <c r="H16" s="8" t="s">
        <v>598</v>
      </c>
      <c r="I16" s="8" t="s">
        <v>599</v>
      </c>
      <c r="J16" s="8" t="s">
        <v>600</v>
      </c>
      <c r="K16" s="8" t="s">
        <v>601</v>
      </c>
      <c r="L16" s="8" t="s">
        <v>632</v>
      </c>
      <c r="M16" s="8" t="s">
        <v>170</v>
      </c>
      <c r="N16" s="8"/>
      <c r="O16" s="8" t="s">
        <v>647</v>
      </c>
    </row>
    <row r="17" spans="1:15" ht="26.4" x14ac:dyDescent="0.3">
      <c r="A17" s="7" t="s">
        <v>182</v>
      </c>
      <c r="B17" s="8" t="s">
        <v>433</v>
      </c>
      <c r="C17" s="8" t="s">
        <v>602</v>
      </c>
      <c r="D17" s="8" t="s">
        <v>444</v>
      </c>
      <c r="E17" s="8" t="s">
        <v>134</v>
      </c>
      <c r="F17" s="8" t="s">
        <v>163</v>
      </c>
      <c r="G17" s="8" t="s">
        <v>603</v>
      </c>
      <c r="H17" s="8" t="s">
        <v>598</v>
      </c>
      <c r="I17" s="8" t="s">
        <v>604</v>
      </c>
      <c r="J17" s="8" t="s">
        <v>605</v>
      </c>
      <c r="K17" s="8" t="s">
        <v>606</v>
      </c>
      <c r="L17" s="8" t="s">
        <v>633</v>
      </c>
      <c r="M17" s="8" t="s">
        <v>170</v>
      </c>
      <c r="N17" s="8"/>
      <c r="O17" s="8" t="s">
        <v>648</v>
      </c>
    </row>
    <row r="18" spans="1:15" ht="26.4" x14ac:dyDescent="0.3">
      <c r="A18" s="7" t="s">
        <v>183</v>
      </c>
      <c r="B18" s="8" t="s">
        <v>482</v>
      </c>
      <c r="C18" s="8" t="s">
        <v>607</v>
      </c>
      <c r="D18" s="8" t="s">
        <v>444</v>
      </c>
      <c r="E18" s="8" t="s">
        <v>134</v>
      </c>
      <c r="F18" s="8" t="s">
        <v>163</v>
      </c>
      <c r="G18" s="8" t="s">
        <v>608</v>
      </c>
      <c r="H18" s="8" t="s">
        <v>609</v>
      </c>
      <c r="I18" s="8" t="s">
        <v>610</v>
      </c>
      <c r="J18" s="8" t="s">
        <v>611</v>
      </c>
      <c r="K18" s="8" t="s">
        <v>612</v>
      </c>
      <c r="L18" s="8" t="s">
        <v>634</v>
      </c>
      <c r="M18" s="8" t="s">
        <v>170</v>
      </c>
      <c r="N18" s="8"/>
      <c r="O18" s="8" t="s">
        <v>649</v>
      </c>
    </row>
    <row r="19" spans="1:15" ht="26.4" x14ac:dyDescent="0.3">
      <c r="A19" s="7" t="s">
        <v>184</v>
      </c>
      <c r="B19" s="8" t="s">
        <v>222</v>
      </c>
      <c r="C19" s="8" t="s">
        <v>613</v>
      </c>
      <c r="D19" s="8" t="s">
        <v>444</v>
      </c>
      <c r="E19" s="8" t="s">
        <v>134</v>
      </c>
      <c r="F19" s="8" t="s">
        <v>163</v>
      </c>
      <c r="G19" s="8" t="s">
        <v>614</v>
      </c>
      <c r="H19" s="8" t="s">
        <v>609</v>
      </c>
      <c r="I19" s="8" t="s">
        <v>615</v>
      </c>
      <c r="J19" s="8" t="s">
        <v>616</v>
      </c>
      <c r="K19" s="8" t="s">
        <v>617</v>
      </c>
      <c r="L19" s="8" t="s">
        <v>635</v>
      </c>
      <c r="M19" s="8" t="s">
        <v>170</v>
      </c>
      <c r="N19" s="8"/>
      <c r="O19" s="8" t="s">
        <v>650</v>
      </c>
    </row>
    <row r="20" spans="1:15" ht="26.4" x14ac:dyDescent="0.3">
      <c r="A20" s="7" t="s">
        <v>185</v>
      </c>
      <c r="B20" s="8" t="s">
        <v>222</v>
      </c>
      <c r="C20" s="8" t="s">
        <v>618</v>
      </c>
      <c r="D20" s="8" t="s">
        <v>444</v>
      </c>
      <c r="E20" s="8" t="s">
        <v>134</v>
      </c>
      <c r="F20" s="8" t="s">
        <v>163</v>
      </c>
      <c r="G20" s="8" t="s">
        <v>619</v>
      </c>
      <c r="H20" s="8" t="s">
        <v>609</v>
      </c>
      <c r="I20" s="8" t="s">
        <v>620</v>
      </c>
      <c r="J20" s="8" t="s">
        <v>621</v>
      </c>
      <c r="K20" s="8" t="s">
        <v>622</v>
      </c>
      <c r="L20" s="8" t="s">
        <v>636</v>
      </c>
      <c r="M20" s="8" t="s">
        <v>170</v>
      </c>
      <c r="N20" s="8"/>
      <c r="O20" s="8" t="s">
        <v>651</v>
      </c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tabSelected="1" zoomScale="99" zoomScaleNormal="99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ht="39.6" x14ac:dyDescent="0.3">
      <c r="A6" s="7" t="s">
        <v>231</v>
      </c>
      <c r="B6" s="8" t="s">
        <v>652</v>
      </c>
      <c r="C6" s="8" t="s">
        <v>454</v>
      </c>
      <c r="D6" s="8" t="s">
        <v>554</v>
      </c>
      <c r="E6" s="8" t="s">
        <v>174</v>
      </c>
      <c r="F6" s="8" t="s">
        <v>134</v>
      </c>
      <c r="G6" s="8" t="s">
        <v>41</v>
      </c>
      <c r="H6" s="8" t="s">
        <v>41</v>
      </c>
      <c r="I6" s="8" t="s">
        <v>653</v>
      </c>
      <c r="J6" s="8" t="s">
        <v>654</v>
      </c>
      <c r="K6" s="8" t="s">
        <v>655</v>
      </c>
      <c r="L6" s="8" t="s">
        <v>656</v>
      </c>
      <c r="M6" s="8" t="s">
        <v>681</v>
      </c>
      <c r="N6" s="8" t="s">
        <v>229</v>
      </c>
      <c r="O6" s="8" t="s">
        <v>230</v>
      </c>
    </row>
    <row r="7" spans="1:15" ht="26.4" x14ac:dyDescent="0.3">
      <c r="A7" s="7" t="s">
        <v>232</v>
      </c>
      <c r="B7" s="8" t="s">
        <v>657</v>
      </c>
      <c r="C7" s="8" t="s">
        <v>443</v>
      </c>
      <c r="D7" s="8" t="s">
        <v>549</v>
      </c>
      <c r="E7" s="8" t="s">
        <v>173</v>
      </c>
      <c r="F7" s="8" t="s">
        <v>134</v>
      </c>
      <c r="G7" s="8" t="s">
        <v>43</v>
      </c>
      <c r="H7" s="8" t="s">
        <v>43</v>
      </c>
      <c r="I7" s="8" t="s">
        <v>658</v>
      </c>
      <c r="J7" s="8" t="s">
        <v>659</v>
      </c>
      <c r="K7" s="8" t="s">
        <v>660</v>
      </c>
      <c r="L7" s="8" t="s">
        <v>661</v>
      </c>
      <c r="M7" s="8" t="s">
        <v>682</v>
      </c>
      <c r="N7" s="8" t="s">
        <v>229</v>
      </c>
      <c r="O7" s="8" t="s">
        <v>230</v>
      </c>
    </row>
    <row r="8" spans="1:15" ht="26.4" x14ac:dyDescent="0.3">
      <c r="A8" s="7" t="s">
        <v>233</v>
      </c>
      <c r="B8" s="8" t="s">
        <v>662</v>
      </c>
      <c r="C8" s="8" t="s">
        <v>462</v>
      </c>
      <c r="D8" s="8" t="s">
        <v>560</v>
      </c>
      <c r="E8" s="8" t="s">
        <v>175</v>
      </c>
      <c r="F8" s="8" t="s">
        <v>134</v>
      </c>
      <c r="G8" s="8" t="s">
        <v>39</v>
      </c>
      <c r="H8" s="8" t="s">
        <v>41</v>
      </c>
      <c r="I8" s="8" t="s">
        <v>663</v>
      </c>
      <c r="J8" s="8" t="s">
        <v>664</v>
      </c>
      <c r="K8" s="8" t="s">
        <v>665</v>
      </c>
      <c r="L8" s="8" t="s">
        <v>666</v>
      </c>
      <c r="M8" s="8" t="s">
        <v>683</v>
      </c>
      <c r="N8" s="8" t="s">
        <v>229</v>
      </c>
      <c r="O8" s="8" t="s">
        <v>230</v>
      </c>
    </row>
    <row r="9" spans="1:15" ht="26.4" x14ac:dyDescent="0.3">
      <c r="A9" s="7" t="s">
        <v>234</v>
      </c>
      <c r="B9" s="8" t="s">
        <v>667</v>
      </c>
      <c r="C9" s="8" t="s">
        <v>476</v>
      </c>
      <c r="D9" s="8" t="s">
        <v>584</v>
      </c>
      <c r="E9" s="8" t="s">
        <v>179</v>
      </c>
      <c r="F9" s="8" t="s">
        <v>134</v>
      </c>
      <c r="G9" s="8" t="s">
        <v>43</v>
      </c>
      <c r="H9" s="8" t="s">
        <v>43</v>
      </c>
      <c r="I9" s="8" t="s">
        <v>668</v>
      </c>
      <c r="J9" s="8" t="s">
        <v>669</v>
      </c>
      <c r="K9" s="8" t="s">
        <v>670</v>
      </c>
      <c r="L9" s="8" t="s">
        <v>671</v>
      </c>
      <c r="M9" s="8" t="s">
        <v>684</v>
      </c>
      <c r="N9" s="8" t="s">
        <v>229</v>
      </c>
      <c r="O9" s="8" t="s">
        <v>230</v>
      </c>
    </row>
    <row r="10" spans="1:15" ht="26.4" x14ac:dyDescent="0.3">
      <c r="A10" s="7" t="s">
        <v>235</v>
      </c>
      <c r="B10" s="8" t="s">
        <v>672</v>
      </c>
      <c r="C10" s="8" t="s">
        <v>222</v>
      </c>
      <c r="D10" s="8" t="s">
        <v>618</v>
      </c>
      <c r="E10" s="8" t="s">
        <v>185</v>
      </c>
      <c r="F10" s="8" t="s">
        <v>140</v>
      </c>
      <c r="G10" s="8" t="s">
        <v>45</v>
      </c>
      <c r="H10" s="8" t="s">
        <v>45</v>
      </c>
      <c r="I10" s="8" t="s">
        <v>673</v>
      </c>
      <c r="J10" s="8" t="s">
        <v>621</v>
      </c>
      <c r="K10" s="8" t="s">
        <v>674</v>
      </c>
      <c r="L10" s="8" t="s">
        <v>675</v>
      </c>
      <c r="M10" s="8" t="s">
        <v>685</v>
      </c>
      <c r="N10" s="8" t="s">
        <v>229</v>
      </c>
      <c r="O10" s="8" t="s">
        <v>230</v>
      </c>
    </row>
    <row r="11" spans="1:15" ht="26.4" x14ac:dyDescent="0.3">
      <c r="A11" s="7" t="s">
        <v>236</v>
      </c>
      <c r="B11" s="8" t="s">
        <v>676</v>
      </c>
      <c r="C11" s="8" t="s">
        <v>480</v>
      </c>
      <c r="D11" s="8" t="s">
        <v>590</v>
      </c>
      <c r="E11" s="8" t="s">
        <v>180</v>
      </c>
      <c r="F11" s="8" t="s">
        <v>144</v>
      </c>
      <c r="G11" s="8" t="s">
        <v>45</v>
      </c>
      <c r="H11" s="8" t="s">
        <v>45</v>
      </c>
      <c r="I11" s="8" t="s">
        <v>677</v>
      </c>
      <c r="J11" s="8" t="s">
        <v>678</v>
      </c>
      <c r="K11" s="8" t="s">
        <v>679</v>
      </c>
      <c r="L11" s="8" t="s">
        <v>680</v>
      </c>
      <c r="M11" s="8" t="s">
        <v>686</v>
      </c>
      <c r="N11" s="8" t="s">
        <v>229</v>
      </c>
      <c r="O11" s="8" t="s">
        <v>230</v>
      </c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x14ac:dyDescent="0.3">
      <c r="A6" s="7" t="s">
        <v>274</v>
      </c>
      <c r="B6" s="8" t="s">
        <v>138</v>
      </c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275</v>
      </c>
      <c r="B7" s="8" t="s">
        <v>139</v>
      </c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276</v>
      </c>
      <c r="B8" s="8" t="s">
        <v>140</v>
      </c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277</v>
      </c>
      <c r="B9" s="8" t="s">
        <v>141</v>
      </c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278</v>
      </c>
      <c r="B10" s="8" t="s">
        <v>142</v>
      </c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279</v>
      </c>
      <c r="B11" s="8" t="s">
        <v>143</v>
      </c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280</v>
      </c>
      <c r="B12" s="8" t="s">
        <v>144</v>
      </c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x14ac:dyDescent="0.3">
      <c r="A6" s="7" t="s">
        <v>303</v>
      </c>
      <c r="B6" s="8"/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304</v>
      </c>
      <c r="B7" s="8"/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305</v>
      </c>
      <c r="B8" s="8"/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306</v>
      </c>
      <c r="B9" s="8"/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307</v>
      </c>
      <c r="B10" s="8"/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308</v>
      </c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/>
      <c r="C6" s="8"/>
      <c r="D6" s="8"/>
      <c r="E6" s="8"/>
      <c r="F6" s="8"/>
      <c r="G6" s="8"/>
      <c r="H6" s="8"/>
      <c r="I6" s="8"/>
    </row>
    <row r="7" spans="1:9" x14ac:dyDescent="0.3">
      <c r="A7" s="7" t="s">
        <v>337</v>
      </c>
      <c r="B7" s="8"/>
      <c r="C7" s="8"/>
      <c r="D7" s="8"/>
      <c r="E7" s="8"/>
      <c r="F7" s="8"/>
      <c r="G7" s="8"/>
      <c r="H7" s="8"/>
      <c r="I7" s="8"/>
    </row>
    <row r="8" spans="1:9" x14ac:dyDescent="0.3">
      <c r="A8" s="7" t="s">
        <v>338</v>
      </c>
      <c r="B8" s="8"/>
      <c r="C8" s="8"/>
      <c r="D8" s="8"/>
      <c r="E8" s="8"/>
      <c r="F8" s="8"/>
      <c r="G8" s="8"/>
      <c r="H8" s="8"/>
      <c r="I8" s="8"/>
    </row>
    <row r="9" spans="1:9" x14ac:dyDescent="0.3">
      <c r="A9" s="7" t="s">
        <v>339</v>
      </c>
      <c r="B9" s="8"/>
      <c r="C9" s="8"/>
      <c r="D9" s="8"/>
      <c r="E9" s="8"/>
      <c r="F9" s="8"/>
      <c r="G9" s="8"/>
      <c r="H9" s="8"/>
      <c r="I9" s="8"/>
    </row>
    <row r="10" spans="1:9" x14ac:dyDescent="0.3">
      <c r="A10" s="7" t="s">
        <v>340</v>
      </c>
      <c r="B10" s="8"/>
      <c r="C10" s="8"/>
      <c r="D10" s="8"/>
      <c r="E10" s="8"/>
      <c r="F10" s="8"/>
      <c r="G10" s="8"/>
      <c r="H10" s="8"/>
      <c r="I10" s="8"/>
    </row>
    <row r="11" spans="1:9" x14ac:dyDescent="0.3">
      <c r="A11" s="7" t="s">
        <v>341</v>
      </c>
      <c r="B11" s="8"/>
      <c r="C11" s="8"/>
      <c r="D11" s="8"/>
      <c r="E11" s="8"/>
      <c r="F11" s="8"/>
      <c r="G11" s="8"/>
      <c r="H11" s="8"/>
      <c r="I11" s="8"/>
    </row>
    <row r="12" spans="1:9" x14ac:dyDescent="0.3">
      <c r="A12" s="7" t="s">
        <v>342</v>
      </c>
      <c r="B12" s="8"/>
      <c r="C12" s="8"/>
      <c r="D12" s="8"/>
      <c r="E12" s="8"/>
      <c r="F12" s="8"/>
      <c r="G12" s="8"/>
      <c r="H12" s="8"/>
      <c r="I12" s="8"/>
    </row>
    <row r="13" spans="1:9" x14ac:dyDescent="0.3">
      <c r="A13" s="7" t="s">
        <v>343</v>
      </c>
      <c r="B13" s="8"/>
      <c r="C13" s="8"/>
      <c r="D13" s="8"/>
      <c r="E13" s="8"/>
      <c r="F13" s="8"/>
      <c r="G13" s="8"/>
      <c r="H13" s="8"/>
      <c r="I13" s="8"/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15</v>
      </c>
    </row>
    <row r="6" spans="1:2" x14ac:dyDescent="0.3">
      <c r="A6" s="17" t="s">
        <v>375</v>
      </c>
      <c r="B6" s="18">
        <f>COUNTIF('5_Casos_de_Teste'!M6:M45,"Passou")</f>
        <v>15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1</v>
      </c>
    </row>
    <row r="11" spans="1:2" x14ac:dyDescent="0.3">
      <c r="A11" s="17" t="s">
        <v>380</v>
      </c>
      <c r="B11" s="18">
        <f>COUNTIF('5_Casos_de_Teste'!D6:D45,"Valor limite")</f>
        <v>5</v>
      </c>
    </row>
    <row r="12" spans="1:2" x14ac:dyDescent="0.3">
      <c r="A12" s="17" t="s">
        <v>381</v>
      </c>
      <c r="B12" s="18">
        <f>COUNTA('6_Bugs'!B6:B35)</f>
        <v>6</v>
      </c>
    </row>
    <row r="13" spans="1:2" x14ac:dyDescent="0.3">
      <c r="A13" s="17" t="s">
        <v>382</v>
      </c>
      <c r="B13" s="18">
        <f>COUNTIF('6_Bugs'!G6:G35,"Crítica")</f>
        <v>1</v>
      </c>
    </row>
    <row r="14" spans="1:2" x14ac:dyDescent="0.3">
      <c r="A14" s="17" t="s">
        <v>383</v>
      </c>
      <c r="B14" s="18">
        <f>COUNTIF('6_Bugs'!G6:G35,"Alta")</f>
        <v>1</v>
      </c>
    </row>
    <row r="15" spans="1:2" x14ac:dyDescent="0.3">
      <c r="A15" s="17" t="s">
        <v>384</v>
      </c>
      <c r="B15" s="18">
        <f>COUNTIF('6_Bugs'!G6:G35,"Média")</f>
        <v>2</v>
      </c>
    </row>
    <row r="16" spans="1:2" x14ac:dyDescent="0.3">
      <c r="A16" s="17" t="s">
        <v>385</v>
      </c>
      <c r="B16" s="18">
        <f>COUNTIF('6_Bugs'!G6:G35,"Baixa")</f>
        <v>2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0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0</v>
      </c>
    </row>
    <row r="21" spans="1:4" x14ac:dyDescent="0.3">
      <c r="A21" s="17" t="s">
        <v>390</v>
      </c>
      <c r="B21" s="18">
        <f>COUNTA('9_Automacao'!E6:E25)</f>
        <v>0</v>
      </c>
    </row>
    <row r="22" spans="1:4" x14ac:dyDescent="0.3">
      <c r="A22" s="17" t="s">
        <v>391</v>
      </c>
      <c r="B22" s="18">
        <f>COUNTIF('9_Automacao'!H6:H25,"Passou")</f>
        <v>0</v>
      </c>
    </row>
    <row r="23" spans="1:4" x14ac:dyDescent="0.3">
      <c r="A23" s="17" t="s">
        <v>392</v>
      </c>
      <c r="B23" s="18">
        <f>COUNTIF('9_Automacao'!H6:H25,"Falhou")</f>
        <v>0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4"/>
      <c r="C26" s="24"/>
      <c r="D26" s="9" t="s">
        <v>395</v>
      </c>
    </row>
    <row r="27" spans="1:4" ht="48" customHeight="1" x14ac:dyDescent="0.3">
      <c r="A27" s="7" t="s">
        <v>396</v>
      </c>
      <c r="B27" s="24"/>
      <c r="C27" s="24"/>
    </row>
    <row r="28" spans="1:4" ht="48" customHeight="1" x14ac:dyDescent="0.3">
      <c r="A28" s="7" t="s">
        <v>397</v>
      </c>
      <c r="B28" s="24"/>
      <c r="C28" s="24"/>
    </row>
    <row r="29" spans="1:4" ht="48" customHeight="1" x14ac:dyDescent="0.3">
      <c r="A29" s="7" t="s">
        <v>398</v>
      </c>
      <c r="B29" s="24"/>
      <c r="C29" s="24"/>
    </row>
    <row r="30" spans="1:4" ht="18" customHeight="1" x14ac:dyDescent="0.3">
      <c r="A30" s="7" t="s">
        <v>399</v>
      </c>
      <c r="B30" s="24"/>
      <c r="C30" s="24"/>
      <c r="D30" s="9" t="s">
        <v>400</v>
      </c>
    </row>
    <row r="31" spans="1:4" ht="48" customHeight="1" x14ac:dyDescent="0.3">
      <c r="A31" s="7" t="s">
        <v>401</v>
      </c>
      <c r="B31" s="24"/>
      <c r="C31" s="24"/>
      <c r="D31" s="9" t="s">
        <v>402</v>
      </c>
    </row>
    <row r="32" spans="1:4" ht="48" customHeight="1" x14ac:dyDescent="0.3">
      <c r="A32" s="7" t="s">
        <v>403</v>
      </c>
      <c r="B32" s="24"/>
      <c r="C32" s="24"/>
    </row>
    <row r="33" spans="1:3" ht="48" customHeight="1" x14ac:dyDescent="0.3">
      <c r="A33" s="7" t="s">
        <v>404</v>
      </c>
      <c r="B33" s="24"/>
      <c r="C33" s="24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2026-10-30T00:20:23Z</dcterms:modified>
  <dc:language>en-US</dc:language>
</cp:coreProperties>
</file>