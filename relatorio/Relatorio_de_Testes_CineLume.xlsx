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E65F75BD-148B-451D-AF0B-C3169280509C}" xr6:coauthVersionLast="47" xr6:coauthVersionMax="47" xr10:uidLastSave="{00000000-0000-0000-0000-000000000000}"/>
  <bookViews>
    <workbookView xWindow="24" yWindow="24" windowWidth="11784" windowHeight="12216" tabRatio="500" firstSheet="9" activeTab="10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<sst xmlns="http://schemas.openxmlformats.org/spreadsheetml/2006/main" count="1103" uniqueCount="765">
  <si>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</si>
  <si>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</si>
  <si>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</si>
  <si>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</si>
  <si>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</si>
  <si>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</si>
  <si>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</si>
  <si>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</si>
  <si>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</si>
  <si>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</si>
  <si>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</si>
  <si>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</si>
  <si>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</si>
  <si>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</si>
  <si>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</si>
  <si>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</si>
  <si>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</si>
  <si>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</si>
  <si>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</si>
  <si>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</si>
  <si>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</si>
  <si>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</si>
  <si>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</si>
  <si>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</si>
  <si>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</si>
  <si>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</si>
  <si>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</si>
  <si>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</si>
  <si>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</si>
  <si>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</si>
  <si>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</si>
  <si>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</si>
  <si>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</si>
  <si>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</si>
  <si>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</si>
  <si>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</si>
  <si>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</si>
  <si>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</si>
  <si>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</si>
  <si>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</si>
  <si>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</si>
  <si>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</si>
  <si>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</si>
  <si>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</si>
  <si>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</si>
  <si>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</si>
  <si>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</si>
  <si>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</si>
  <si>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</si>
  <si>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</si>
  <si>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</si>
  <si>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</si>
  <si>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</si>
  <si>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</si>
  <si>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</si>
  <si>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</si>
  <si>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</si>
  <si>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</si>
  <si>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</si>
  <si>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</si>
  <si>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</si>
  <si>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</si>
  <si>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</si>
  <si>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</si>
  <si>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</si>
  <si>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</si>
  <si>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</si>
  <si>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</si>
  <si>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</si>
  <si>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</si>
  <si>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</si>
  <si>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</si>
  <si>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</si>
  <si>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</si>
  <si>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</si>
  <si>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</si>
  <si>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</si>
  <si>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</si>
  <si>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</si>
  <si>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</si>
  <si>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</si>
  <si>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</si>
  <si>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</si>
  <si>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</si>
  <si>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</si>
  <si>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</si>
  <si>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</si>
  <si>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</si>
  <si>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</si>
  <si>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</si>
  <si>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</si>
  <si>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</si>
  <si>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</si>
  <si>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</si>
  <si>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</si>
  <si>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</si>
  <si>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</si>
  <si>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</si>
  <si>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</si>
  <si>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</si>
  <si>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</si>
  <si>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</si>
  <si>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</si>
  <si>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</si>
  <si>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</si>
  <si>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</si>
  <si>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</si>
  <si>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</si>
  <si>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</si>
  <si>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</si>
  <si>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</si>
  <si>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</si>
  <si>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</si>
  <si>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</si>
  <si>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</si>
  <si>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</si>
  <si>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</si>
  <si>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</si>
  <si>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</si>
  <si>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</si>
  <si>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</si>
  <si>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</si>
  <si>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</si>
  <si>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</si>
  <si>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</si>
  <si>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</si>
  <si>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</si>
  <si>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</si>
  <si>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</si>
  <si>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</si>
  <si>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</si>
  <si>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</si>
  <si>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</si>
  <si>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</si>
  <si>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</si>
  <si>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</si>
  <si>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</si>
  <si>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</si>
  <si>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</si>
  <si>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</si>
  <si>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</si>
  <si>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</si>
  <si>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</si>
  <si>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</si>
  <si>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</si>
  <si>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</si>
  <si>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</si>
  <si>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</si>
  <si>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</si>
  <si>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</si>
  <si>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</si>
  <si>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</si>
  <si>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</si>
  <si>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</si>
  <si>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</si>
  <si>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</si>
  <si>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</si>
  <si>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</si>
  <si>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</si>
  <si>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</si>
  <si>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</si>
  <si>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</si>
  <si>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</si>
  <si>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</si>
  <si>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</si>
  <si>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</si>
  <si>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</si>
  <si>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</si>
  <si>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</si>
  <si>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</si>
  <si>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</si>
  <si>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</si>
  <si>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</si>
  <si>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</si>
  <si>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</si>
  <si>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</si>
  <si>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</si>
  <si>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</si>
  <si>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</si>
  <si>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</si>
  <si>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</si>
  <si>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</si>
  <si>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</si>
  <si>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</si>
  <si>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</si>
  <si>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</si>
  <si>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</si>
  <si>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</si>
  <si>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</si>
  <si>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</si>
  <si>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</si>
  <si>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</si>
  <si>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</si>
  <si>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</si>
  <si>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</si>
  <si>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</si>
  <si>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</si>
  <si>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</si>
  <si>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</si>
  <si>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</si>
  <si>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</si>
  <si>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</si>
  <si>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</si>
  <si>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</si>
  <si>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</si>
  <si>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</si>
  <si>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</si>
  <si>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</si>
  <si>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</si>
  <si>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</si>
  <si>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</si>
  <si>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</si>
  <si>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</si>
  <si>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</si>
  <si>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</si>
  <si>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</si>
  <si>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</si>
  <si>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</si>
  <si>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</si>
  <si>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</si>
  <si>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</si>
  <si>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</si>
  <si>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</si>
  <si>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</si>
  <si>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</si>
  <si>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</si>
  <si>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</si>
  <si>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</si>
  <si>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</si>
  <si>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</si>
  <si>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</si>
  <si>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</si>
  <si>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</si>
  <si>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</si>
  <si>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</si>
  <si>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</si>
  <si>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</si>
  <si>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</si>
  <si>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</si>
  <si>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</si>
  <si>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</si>
  <si>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</si>
  <si>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</si>
  <si>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</si>
  <si>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</si>
  <si>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</si>
  <si>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</si>
  <si>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</si>
  <si>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</si>
  <si>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</si>
  <si>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</si>
  <si>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</si>
  <si>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</si>
  <si>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</si>
  <si>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</si>
  <si>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</si>
  <si>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</si>
  <si>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</si>
  <si>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</si>
  <si>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</si>
  <si>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</si>
  <si>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</si>
  <si>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</si>
  <si>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</si>
  <si>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</si>
  <si>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</si>
  <si>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</si>
  <si>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</si>
  <si>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</si>
  <si>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</si>
  <si>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</si>
  <si>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</si>
  <si>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</si>
  <si>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</si>
  <si>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</si>
  <si>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</si>
  <si>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</si>
  <si>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</si>
  <si>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</si>
  <si>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</si>
  <si>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</si>
  <si>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</si>
  <si>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</si>
  <si>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</si>
  <si>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</si>
  <si>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</si>
  <si>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</si>
  <si>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</si>
  <si>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</si>
  <si>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</si>
  <si>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</si>
  <si>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</si>
  <si>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</si>
  <si>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</si>
  <si>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</si>
  <si>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</si>
  <si>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</si>
  <si>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</si>
  <si>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</si>
  <si>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</si>
  <si>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</si>
  <si>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</si>
  <si>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</si>
  <si>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</si>
  <si>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</si>
  <si>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</si>
  <si>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</si>
  <si>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</si>
  <si>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</si>
  <si>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</si>
  <si>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</si>
  <si>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</si>
  <si>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</si>
  <si>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</si>
  <si>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</si>
  <si>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</si>
  <si>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</si>
  <si>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</si>
  <si>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</si>
  <si>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</si>
  <si>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</si>
  <si>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</si>
  <si>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</si>
  <si>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</si>
  <si>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</si>
  <si>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</si>
  <si>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</si>
  <si>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</si>
  <si>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</si>
  <si>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</si>
  <si>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</si>
  <si>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</si>
  <si>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</si>
  <si>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</si>
  <si>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</si>
  <si>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</si>
  <si>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</si>
  <si>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</si>
  <si>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</si>
  <si>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</si>
  <si>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</si>
  <si>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</si>
  <si>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</si>
  <si>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</si>
  <si>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</si>
  <si>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</si>
  <si>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</si>
  <si>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</si>
  <si>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</si>
  <si>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</si>
  <si>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</si>
  <si>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</si>
  <si>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</si>
  <si>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</si>
  <si>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</si>
  <si>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</si>
  <si>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</si>
  <si>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</si>
  <si>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</si>
  <si>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</si>
  <si>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</si>
  <si>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</si>
  <si>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</si>
  <si>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</si>
  <si>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</si>
  <si>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</si>
  <si>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</si>
  <si>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</si>
  <si>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</si>
  <si>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</si>
  <si>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</si>
  <si>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</si>
  <si>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</si>
  <si>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</si>
  <si>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</si>
  <si>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</si>
  <si>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</si>
  <si>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</si>
  <si>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</si>
  <si>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</si>
  <si>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</si>
  <si>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</si>
  <si>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</si>
  <si>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</si>
  <si>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</si>
  <si>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</si>
  <si>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</si>
  <si>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</si>
  <si>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</si>
  <si>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</si>
  <si>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</si>
  <si>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</si>
  <si>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</si>
  <si>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</si>
  <si>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</si>
  <si>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</si>
  <si>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</si>
  <si>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</si>
  <si>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</si>
  <si>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</si>
  <si>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</si>
  <si>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</si>
  <si>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</si>
  <si>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</si>
  <si>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</si>
  <si>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</si>
  <si>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</si>
  <si>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</si>
  <si>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</si>
  <si>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</si>
  <si>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</si>
  <si>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</si>
  <si>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</si>
  <si>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</si>
  <si>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</si>
  <si>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</si>
  <si>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</si>
  <si>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</si>
  <si>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</si>
  <si>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</si>
  <si>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</si>
  <si>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</si>
  <si>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</si>
  <si>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</si>
  <si>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</si>
  <si>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</si>
  <si>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</si>
  <si>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</si>
  <si>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</si>
  <si>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</si>
  <si>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</si>
  <si>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</si>
  <si>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</si>
  <si>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</si>
  <si>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</si>
  <si>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</si>
  <si>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</si>
  <si>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</si>
  <si>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</si>
  <si>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</si>
  <si>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</si>
  <si>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</si>
  <si>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</si>
  <si>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</si>
  <si>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</si>
  <si>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</si>
  <si>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</si>
  <si>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</si>
  <si>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</si>
  <si>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</si>
  <si>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</si>
  <si>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</si>
  <si>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</si>
  <si>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</si>
  <si>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</si>
  <si>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</si>
  <si>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</si>
  <si>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</si>
  <si>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</si>
  <si>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</si>
  <si>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</si>
  <si>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</si>
  <si>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</si>
  <si>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</si>
  <si>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</si>
  <si>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</si>
  <si>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</si>
  <si>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</si>
  <si>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</si>
  <si>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</si>
  <si>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</si>
  <si>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</si>
  <si>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</si>
  <si>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</si>
  <si>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</si>
  <si>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</si>
  <si>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</si>
  <si>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</si>
  <si>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</si>
  <si>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</si>
  <si>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</si>
  <si>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</si>
  <si>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</si>
  <si>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</si>
  <si>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</si>
  <si>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</si>
  <si>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</si>
  <si>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</si>
  <si>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</si>
  <si>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</si>
  <si>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</si>
  <si>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</si>
  <si>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</si>
  <si>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</si>
  <si>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</si>
  <si>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</si>
  <si>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</si>
  <si>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</si>
  <si>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</si>
  <si>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</si>
  <si>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</si>
  <si>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</si>
  <si>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</si>
  <si>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</si>
  <si>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</si>
  <si>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</si>
  <si>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</si>
  <si>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</si>
  <si>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</si>
  <si>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</si>
  <si>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</si>
  <si>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</si>
  <si>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</si>
  <si>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</si>
  <si>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</si>
  <si>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</si>
  <si>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</si>
  <si>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</si>
  <si>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</si>
  <si>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</si>
  <si>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</si>
  <si>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</si>
  <si>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</si>
  <si>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</si>
  <si>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</si>
  <si>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</si>
  <si>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</si>
  <si>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</si>
  <si>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</si>
  <si>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</si>
  <si>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</si>
  <si>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</si>
  <si>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</si>
  <si>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</si>
  <si>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</si>
  <si>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</si>
  <si>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</si>
  <si>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</si>
  <si>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</si>
  <si>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</si>
  <si>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</si>
  <si>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</si>
  <si>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</si>
  <si>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</si>
  <si>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</si>
  <si>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</si>
  <si>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</si>
  <si>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</si>
  <si>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</si>
  <si>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</si>
  <si>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</si>
  <si>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</si>
  <si>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</si>
  <si>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</si>
  <si>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</si>
  <si>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</si>
  <si>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</si>
  <si>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</si>
  <si>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</si>
  <si>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</si>
  <si>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</si>
  <si>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</si>
  <si>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</si>
  <si>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</si>
  <si>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</si>
  <si>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</si>
  <si>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</si>
  <si>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</si>
  <si>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</si>
  <si>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</si>
  <si>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</si>
  <si>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</si>
  <si>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</si>
  <si>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</si>
  <si>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</si>
  <si>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</si>
  <si>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</si>
  <si>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</si>
  <si>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</si>
  <si>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</si>
  <si>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</si>
  <si>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</si>
  <si>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</si>
  <si>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</si>
  <si>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</si>
  <si>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</si>
  <si>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</si>
  <si>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</si>
  <si>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</si>
  <si>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</si>
  <si>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</si>
  <si>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</si>
  <si>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</si>
  <si>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</si>
  <si>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</si>
  <si>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</si>
  <si>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</si>
  <si>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</si>
  <si>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</si>
  <si>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</si>
  <si>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</si>
  <si>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</si>
  <si>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</si>
  <si>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</si>
  <si>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</si>
  <si>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</si>
  <si>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</si>
  <si>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</si>
  <si>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</si>
  <si>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</si>
  <si>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</si>
  <si>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</si>
  <si>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</si>
  <si>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</si>
  <si>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</si>
  <si>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</si>
  <si>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</si>
  <si>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</si>
  <si>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</si>
  <si>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</si>
  <si>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</si>
  <si>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</si>
  <si>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</si>
  <si>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</si>
  <si>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</si>
  <si>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</si>
  <si>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</si>
  <si>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</si>
  <si>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</si>
  <si>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</si>
  <si>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</si>
  <si>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</si>
  <si>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</si>
  <si>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</si>
  <si>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</si>
  <si>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</si>
  <si>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</si>
  <si>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</si>
  <si>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</si>
  <si>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</si>
  <si>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</si>
  <si>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</si>
  <si>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</si>
  <si>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</si>
  <si>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</si>
  <si>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</si>
  <si>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</si>
  <si>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</si>
  <si>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</si>
  <si>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</si>
  <si>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</si>
  <si>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</si>
  <si>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</si>
  <si>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</si>
  <si>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</si>
  <si>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</si>
  <si>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</si>
  <si>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</si>
  <si>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</si>
  <si>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</si>
  <si>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</si>
  <si>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</si>
  <si>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</si>
  <si>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</si>
  <si>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</si>
  <si>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</si>
  <si>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</si>
  <si>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</si>
  <si>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</si>
  <si>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</si>
  <si>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</si>
  <si>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</si>
  <si>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</si>
  <si>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</si>
  <si>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</si>
  <si>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</si>
  <si>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</si>
  <si>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</si>
  <si>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</si>
  <si>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</si>
  <si>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</si>
  <si>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</si>
  <si>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</si>
  <si>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</si>
  <si>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</si>
  <si>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</si>
  <si>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</si>
  <si>
    <t>Tempo de carregamento inicial do DOM da página</t>
  </si>
  <si>
    <t>DevTools Network tab: carregamento limpo (Ctrl+F5)</t>
  </si>
  <si>
    <t>320 ms</t>
  </si>
  <si>
    <t>ate 2000 ms</t>
  </si>
  <si>
    <t>Tempo para processar renderização de 500 assentos simultâneos</t>
  </si>
  <si>
    <t>Console: console.time + loop para gerar elementos DOM de assentos</t>
  </si>
  <si>
    <t>150 ms</t>
  </si>
  <si>
    <t>ate 1000 ms</t>
  </si>
  <si>
    <t>Comportamento ao efetuar 50 cliques consecutivos no botão de adicionar item</t>
  </si>
  <si>
    <t>Console: script de repetição rápida com evento .click()</t>
  </si>
  <si>
    <t>Sem travamento ou exceção</t>
  </si>
  <si>
    <t>Manter estabilidade da interface</t>
  </si>
  <si>
    <t>Suporte a entrada de string longa com 255 caracteres no campo Nome</t>
  </si>
  <si>
    <t>Inserção de string com 255 caracteres via console no input</t>
  </si>
  <si>
    <t>Texto truncado/limitado corretamente</t>
  </si>
  <si>
    <t>Não quebrar o layout nem estourar o banco local</t>
  </si>
  <si>
    <t>Resistência a injeção de scripts (XSS) no campo de Nome</t>
  </si>
  <si>
    <t>Digitação do payload &lt;script&gt;alert('xss')&lt;/script&gt; no formulário</t>
  </si>
  <si>
    <t>String tratada como texto puro</t>
  </si>
  <si>
    <t>Não executar scripts no navegador</t>
  </si>
  <si>
    <t>Manutenção dos itens no carrinho após recarregar a página (F5)</t>
  </si>
  <si>
    <t>Adicionar itens ao carrinho e atualizar a página</t>
  </si>
  <si>
    <t>Estado do carrinho preservado via localStorage</t>
  </si>
  <si>
    <t>Manter dados informados pelo utilizador</t>
  </si>
  <si>
    <t>Navegação completa no formulário e seleção via teclado (Tab/Espaço)</t>
  </si>
  <si>
    <t>Navegação manual utilizando apenas a tecla Tab e Enter</t>
  </si>
  <si>
    <t>Foco visível em todos os campos interativos</t>
  </si>
  <si>
    <t>Acessibilidade total via teclado</t>
  </si>
  <si>
    <t>nf_02.png</t>
  </si>
  <si>
    <t>nf_03.png</t>
  </si>
  <si>
    <t>nf_04.png</t>
  </si>
  <si>
    <t>nf_05.png</t>
  </si>
  <si>
    <t>nf_06.png</t>
  </si>
  <si>
    <t>nf_07.png</t>
  </si>
  <si>
    <t>condição verdadeira</t>
  </si>
  <si>
    <t>validarNome("João")</t>
  </si>
  <si>
    <t>true (RN13: mínimo de 3 caracteres)</t>
  </si>
  <si>
    <t>mail.includes('@') &amp;&amp; email.includes('.')</t>
  </si>
  <si>
    <t>validarEmail("lindo@email.com")</t>
  </si>
  <si>
    <t>true (RN02: formato de e-mail válido)</t>
  </si>
  <si>
    <t>Condição falsa (ausência de @)</t>
  </si>
  <si>
    <t>validarEmail("lindoemail.com")</t>
  </si>
  <si>
    <t>false (RN02: e-mail sem @)</t>
  </si>
  <si>
    <t>qtd &gt; 0 &amp;&amp; qtd &lt;= 10</t>
  </si>
  <si>
    <t>Condição verdadeira (dentro do limite)</t>
  </si>
  <si>
    <t>validarQuantidadeIngressos</t>
  </si>
  <si>
    <t>true (RN10: permitido entre 1 e 10 ingressos)</t>
  </si>
  <si>
    <t>Condição falsa (abaixo do limite mínimo)</t>
  </si>
  <si>
    <t>validarQuantidadeIngressos(0)</t>
  </si>
  <si>
    <t>false (RN10: mínimo de 1 ingresso)</t>
  </si>
  <si>
    <t>Condição falsa (acima do limite máximo)</t>
  </si>
  <si>
    <t>validarQuantidadeIngressos(11)</t>
  </si>
  <si>
    <t>false (RN10: máximo de 10 ingressos)</t>
  </si>
  <si>
    <t>Nome com 3 ou mais caracteres é válido</t>
  </si>
  <si>
    <t>testar('AT01', 'Nome válido', validarNome('Carlos'), true);</t>
  </si>
  <si>
    <t>Nome com menos de 3 caracteres é recusado</t>
  </si>
  <si>
    <t>testar('AT02', 'Nome curto', validarNome('Zé'), false);</t>
  </si>
  <si>
    <t>E-mail sem o símbolo @ deve ser recusado</t>
  </si>
  <si>
    <t>testar('AT03', 'E-mail sem @', validarEmail('clienteemail.com'), false);</t>
  </si>
  <si>
    <t>Quantidade dentro do limite permitido (1 a 10)</t>
  </si>
  <si>
    <t>testar('AT04', 'Qtd válida', validarQuantidadeIngressos(5), true);</t>
  </si>
  <si>
    <t>Quantidade acima do teto de 10 ingressos</t>
  </si>
  <si>
    <t>testar('AT05', 'Qtd acima limite', validarQuantidadeIngressos(11), false);</t>
  </si>
  <si>
    <t>Cupom de desconto expirado</t>
  </si>
  <si>
    <t>testar('AT06', 'Cupom expirado', validarCupom('PROMO2023'), false);</t>
  </si>
  <si>
    <t>Tentativa de seleção de assento já ocupado</t>
  </si>
  <si>
    <t>testar('AT07', 'Assento ocupado', validarAssento('A01'), false);</t>
  </si>
  <si>
    <t>Cálculo correto do total para múltiplos assentos</t>
  </si>
  <si>
    <t>testar('AT08', 'Cálculo total', calcularTotal(2, 20.0), 40.0);</t>
  </si>
  <si>
    <t>40.0</t>
  </si>
  <si>
    <t>20.0</t>
  </si>
  <si>
    <t>regras.js</t>
  </si>
  <si>
    <t>calcularTotal</t>
  </si>
  <si>
    <t>A função somava apenas o preço unitário de um único ingresso em vez de multiplicar pela quantidade selecionada.</t>
  </si>
  <si>
    <t>Ajuste na lógica de cálculo para multiplicar o valor unitário pela quantidade total de assentos escolhidos.</t>
  </si>
  <si>
    <t>AT01 a AT07</t>
  </si>
  <si>
    <t>passaram</t>
  </si>
  <si>
    <t>9a6c1f9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</si>
</sst>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I24" sqref="I2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="70" zoomScaleNormal="7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39.6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ht="26.4" x14ac:dyDescent="0.3">
      <c r="A6" s="7" t="s">
        <v>274</v>
      </c>
      <c r="B6" s="8" t="s">
        <v>138</v>
      </c>
      <c r="C6" s="8" t="s">
        <v>268</v>
      </c>
      <c r="D6" s="8" t="s">
        <v>687</v>
      </c>
      <c r="E6" s="8" t="s">
        <v>688</v>
      </c>
      <c r="F6" s="8" t="s">
        <v>689</v>
      </c>
      <c r="G6" s="8" t="s">
        <v>690</v>
      </c>
      <c r="H6" s="8" t="s">
        <v>170</v>
      </c>
      <c r="I6" s="8"/>
      <c r="J6" s="8" t="s">
        <v>715</v>
      </c>
    </row>
    <row r="7" spans="1:10" ht="26.4" x14ac:dyDescent="0.3">
      <c r="A7" s="7" t="s">
        <v>275</v>
      </c>
      <c r="B7" s="8" t="s">
        <v>139</v>
      </c>
      <c r="C7" s="8" t="s">
        <v>268</v>
      </c>
      <c r="D7" s="8" t="s">
        <v>691</v>
      </c>
      <c r="E7" s="8" t="s">
        <v>692</v>
      </c>
      <c r="F7" s="8" t="s">
        <v>693</v>
      </c>
      <c r="G7" s="8" t="s">
        <v>694</v>
      </c>
      <c r="H7" s="8" t="s">
        <v>170</v>
      </c>
      <c r="I7" s="8"/>
      <c r="J7" s="8" t="s">
        <v>715</v>
      </c>
    </row>
    <row r="8" spans="1:10" ht="39.6" x14ac:dyDescent="0.3">
      <c r="A8" s="7" t="s">
        <v>276</v>
      </c>
      <c r="B8" s="8" t="s">
        <v>140</v>
      </c>
      <c r="C8" s="8" t="s">
        <v>268</v>
      </c>
      <c r="D8" s="8" t="s">
        <v>695</v>
      </c>
      <c r="E8" s="8" t="s">
        <v>696</v>
      </c>
      <c r="F8" s="8" t="s">
        <v>697</v>
      </c>
      <c r="G8" s="8" t="s">
        <v>698</v>
      </c>
      <c r="H8" s="8" t="s">
        <v>170</v>
      </c>
      <c r="I8" s="8"/>
      <c r="J8" s="8" t="s">
        <v>716</v>
      </c>
    </row>
    <row r="9" spans="1:10" ht="26.4" x14ac:dyDescent="0.3">
      <c r="A9" s="7" t="s">
        <v>277</v>
      </c>
      <c r="B9" s="8" t="s">
        <v>141</v>
      </c>
      <c r="C9" s="8" t="s">
        <v>443</v>
      </c>
      <c r="D9" s="8" t="s">
        <v>699</v>
      </c>
      <c r="E9" s="8" t="s">
        <v>700</v>
      </c>
      <c r="F9" s="8" t="s">
        <v>701</v>
      </c>
      <c r="G9" s="8" t="s">
        <v>702</v>
      </c>
      <c r="H9" s="8" t="s">
        <v>170</v>
      </c>
      <c r="I9" s="8"/>
      <c r="J9" s="8" t="s">
        <v>717</v>
      </c>
    </row>
    <row r="10" spans="1:10" ht="26.4" x14ac:dyDescent="0.3">
      <c r="A10" s="7" t="s">
        <v>278</v>
      </c>
      <c r="B10" s="8" t="s">
        <v>142</v>
      </c>
      <c r="C10" s="8" t="s">
        <v>443</v>
      </c>
      <c r="D10" s="8" t="s">
        <v>703</v>
      </c>
      <c r="E10" s="8" t="s">
        <v>704</v>
      </c>
      <c r="F10" s="8" t="s">
        <v>705</v>
      </c>
      <c r="G10" s="8" t="s">
        <v>706</v>
      </c>
      <c r="H10" s="8" t="s">
        <v>170</v>
      </c>
      <c r="I10" s="8"/>
      <c r="J10" s="8" t="s">
        <v>718</v>
      </c>
    </row>
    <row r="11" spans="1:10" ht="39.6" x14ac:dyDescent="0.3">
      <c r="A11" s="7" t="s">
        <v>279</v>
      </c>
      <c r="B11" s="8" t="s">
        <v>143</v>
      </c>
      <c r="C11" s="8" t="s">
        <v>480</v>
      </c>
      <c r="D11" s="8" t="s">
        <v>707</v>
      </c>
      <c r="E11" s="8" t="s">
        <v>708</v>
      </c>
      <c r="F11" s="8" t="s">
        <v>709</v>
      </c>
      <c r="G11" s="8" t="s">
        <v>710</v>
      </c>
      <c r="H11" s="8" t="s">
        <v>170</v>
      </c>
      <c r="I11" s="8"/>
      <c r="J11" s="8" t="s">
        <v>719</v>
      </c>
    </row>
    <row r="12" spans="1:10" ht="26.4" x14ac:dyDescent="0.3">
      <c r="A12" s="7" t="s">
        <v>280</v>
      </c>
      <c r="B12" s="8" t="s">
        <v>144</v>
      </c>
      <c r="C12" s="8" t="s">
        <v>480</v>
      </c>
      <c r="D12" s="8" t="s">
        <v>711</v>
      </c>
      <c r="E12" s="8" t="s">
        <v>712</v>
      </c>
      <c r="F12" s="8" t="s">
        <v>713</v>
      </c>
      <c r="G12" s="8" t="s">
        <v>714</v>
      </c>
      <c r="H12" s="8" t="s">
        <v>170</v>
      </c>
      <c r="I12" s="8"/>
      <c r="J12" s="8" t="s">
        <v>720</v>
      </c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="80" zoomScaleNormal="8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ht="26.4" x14ac:dyDescent="0.3">
      <c r="A6" s="7" t="s">
        <v>303</v>
      </c>
      <c r="B6" s="8" t="s">
        <v>297</v>
      </c>
      <c r="C6" s="8" t="s">
        <v>298</v>
      </c>
      <c r="D6" s="8" t="s">
        <v>721</v>
      </c>
      <c r="E6" s="8" t="s">
        <v>722</v>
      </c>
      <c r="F6" s="8" t="s">
        <v>723</v>
      </c>
      <c r="G6" s="8" t="s">
        <v>335</v>
      </c>
      <c r="H6" s="8" t="s">
        <v>170</v>
      </c>
      <c r="I6" s="8" t="s">
        <v>94</v>
      </c>
      <c r="J6" s="8"/>
    </row>
    <row r="7" spans="1:10" ht="26.4" x14ac:dyDescent="0.3">
      <c r="A7" s="7" t="s">
        <v>304</v>
      </c>
      <c r="B7" s="8" t="s">
        <v>332</v>
      </c>
      <c r="C7" s="8" t="s">
        <v>724</v>
      </c>
      <c r="D7" s="8" t="s">
        <v>721</v>
      </c>
      <c r="E7" s="8" t="s">
        <v>725</v>
      </c>
      <c r="F7" s="8" t="s">
        <v>726</v>
      </c>
      <c r="G7" s="8" t="s">
        <v>335</v>
      </c>
      <c r="H7" s="8" t="s">
        <v>170</v>
      </c>
      <c r="I7" s="8" t="s">
        <v>443</v>
      </c>
      <c r="J7" s="8"/>
    </row>
    <row r="8" spans="1:10" ht="26.4" x14ac:dyDescent="0.3">
      <c r="A8" s="7" t="s">
        <v>305</v>
      </c>
      <c r="B8" s="8" t="s">
        <v>332</v>
      </c>
      <c r="C8" s="8" t="s">
        <v>724</v>
      </c>
      <c r="D8" s="8" t="s">
        <v>727</v>
      </c>
      <c r="E8" s="8" t="s">
        <v>728</v>
      </c>
      <c r="F8" s="8" t="s">
        <v>729</v>
      </c>
      <c r="G8" s="8" t="s">
        <v>302</v>
      </c>
      <c r="H8" s="8" t="s">
        <v>170</v>
      </c>
      <c r="I8" s="8" t="s">
        <v>443</v>
      </c>
      <c r="J8" s="8" t="s">
        <v>232</v>
      </c>
    </row>
    <row r="9" spans="1:10" ht="39.6" x14ac:dyDescent="0.3">
      <c r="A9" s="7" t="s">
        <v>306</v>
      </c>
      <c r="B9" s="8" t="s">
        <v>451</v>
      </c>
      <c r="C9" s="8" t="s">
        <v>730</v>
      </c>
      <c r="D9" s="8" t="s">
        <v>731</v>
      </c>
      <c r="E9" s="8" t="s">
        <v>732</v>
      </c>
      <c r="F9" s="8" t="s">
        <v>733</v>
      </c>
      <c r="G9" s="8" t="s">
        <v>335</v>
      </c>
      <c r="H9" s="8" t="s">
        <v>170</v>
      </c>
      <c r="I9" s="8" t="s">
        <v>222</v>
      </c>
      <c r="J9" s="8"/>
    </row>
    <row r="10" spans="1:10" ht="39.6" x14ac:dyDescent="0.3">
      <c r="A10" s="7" t="s">
        <v>307</v>
      </c>
      <c r="B10" s="8" t="s">
        <v>451</v>
      </c>
      <c r="C10" s="8" t="s">
        <v>730</v>
      </c>
      <c r="D10" s="8" t="s">
        <v>734</v>
      </c>
      <c r="E10" s="8" t="s">
        <v>735</v>
      </c>
      <c r="F10" s="8" t="s">
        <v>736</v>
      </c>
      <c r="G10" s="8" t="s">
        <v>302</v>
      </c>
      <c r="H10" s="8" t="s">
        <v>170</v>
      </c>
      <c r="I10" s="8" t="s">
        <v>222</v>
      </c>
      <c r="J10" s="8"/>
    </row>
    <row r="11" spans="1:10" ht="39.6" x14ac:dyDescent="0.3">
      <c r="A11" s="7" t="s">
        <v>308</v>
      </c>
      <c r="B11" s="8" t="s">
        <v>451</v>
      </c>
      <c r="C11" s="8" t="s">
        <v>730</v>
      </c>
      <c r="D11" s="8" t="s">
        <v>737</v>
      </c>
      <c r="E11" s="8" t="s">
        <v>738</v>
      </c>
      <c r="F11" s="8" t="s">
        <v>739</v>
      </c>
      <c r="G11" s="8" t="s">
        <v>302</v>
      </c>
      <c r="H11" s="8" t="s">
        <v>170</v>
      </c>
      <c r="I11" s="8" t="s">
        <v>222</v>
      </c>
      <c r="J11" s="8" t="s">
        <v>235</v>
      </c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="94" zoomScaleNormal="94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3" sqref="I13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 t="s">
        <v>297</v>
      </c>
      <c r="C6" s="8" t="s">
        <v>740</v>
      </c>
      <c r="D6" s="8" t="s">
        <v>94</v>
      </c>
      <c r="E6" s="8" t="s">
        <v>741</v>
      </c>
      <c r="F6" s="8" t="s">
        <v>335</v>
      </c>
      <c r="G6" s="8" t="s">
        <v>335</v>
      </c>
      <c r="H6" s="8" t="s">
        <v>170</v>
      </c>
      <c r="I6" s="8"/>
    </row>
    <row r="7" spans="1:9" ht="26.4" x14ac:dyDescent="0.3">
      <c r="A7" s="7" t="s">
        <v>337</v>
      </c>
      <c r="B7" s="8" t="s">
        <v>297</v>
      </c>
      <c r="C7" s="8" t="s">
        <v>742</v>
      </c>
      <c r="D7" s="8" t="s">
        <v>94</v>
      </c>
      <c r="E7" s="8" t="s">
        <v>743</v>
      </c>
      <c r="F7" s="8" t="s">
        <v>302</v>
      </c>
      <c r="G7" s="8" t="s">
        <v>302</v>
      </c>
      <c r="H7" s="8" t="s">
        <v>170</v>
      </c>
      <c r="I7" s="8"/>
    </row>
    <row r="8" spans="1:9" x14ac:dyDescent="0.3">
      <c r="A8" s="7" t="s">
        <v>338</v>
      </c>
      <c r="B8" s="8" t="s">
        <v>332</v>
      </c>
      <c r="C8" s="8" t="s">
        <v>744</v>
      </c>
      <c r="D8" s="8" t="s">
        <v>443</v>
      </c>
      <c r="E8" s="8" t="s">
        <v>745</v>
      </c>
      <c r="F8" s="8" t="s">
        <v>302</v>
      </c>
      <c r="G8" s="8" t="s">
        <v>335</v>
      </c>
      <c r="H8" s="8" t="s">
        <v>170</v>
      </c>
      <c r="I8" s="8" t="s">
        <v>232</v>
      </c>
    </row>
    <row r="9" spans="1:9" ht="26.4" x14ac:dyDescent="0.3">
      <c r="A9" s="7" t="s">
        <v>339</v>
      </c>
      <c r="B9" s="8" t="s">
        <v>451</v>
      </c>
      <c r="C9" s="8" t="s">
        <v>746</v>
      </c>
      <c r="D9" s="8" t="s">
        <v>222</v>
      </c>
      <c r="E9" s="8" t="s">
        <v>747</v>
      </c>
      <c r="F9" s="8" t="s">
        <v>335</v>
      </c>
      <c r="G9" s="8" t="s">
        <v>335</v>
      </c>
      <c r="H9" s="8" t="s">
        <v>170</v>
      </c>
      <c r="I9" s="8"/>
    </row>
    <row r="10" spans="1:9" ht="26.4" x14ac:dyDescent="0.3">
      <c r="A10" s="7" t="s">
        <v>340</v>
      </c>
      <c r="B10" s="8" t="s">
        <v>451</v>
      </c>
      <c r="C10" s="8" t="s">
        <v>748</v>
      </c>
      <c r="D10" s="8" t="s">
        <v>222</v>
      </c>
      <c r="E10" s="8" t="s">
        <v>749</v>
      </c>
      <c r="F10" s="8" t="s">
        <v>302</v>
      </c>
      <c r="G10" s="8" t="s">
        <v>335</v>
      </c>
      <c r="H10" s="8" t="s">
        <v>446</v>
      </c>
      <c r="I10" s="8" t="s">
        <v>235</v>
      </c>
    </row>
    <row r="11" spans="1:9" x14ac:dyDescent="0.3">
      <c r="A11" s="7" t="s">
        <v>341</v>
      </c>
      <c r="B11" s="8" t="s">
        <v>474</v>
      </c>
      <c r="C11" s="8" t="s">
        <v>750</v>
      </c>
      <c r="D11" s="8" t="s">
        <v>476</v>
      </c>
      <c r="E11" s="8" t="s">
        <v>751</v>
      </c>
      <c r="F11" s="8" t="s">
        <v>302</v>
      </c>
      <c r="G11" s="8" t="s">
        <v>335</v>
      </c>
      <c r="H11" s="8" t="s">
        <v>446</v>
      </c>
      <c r="I11" s="8" t="s">
        <v>234</v>
      </c>
    </row>
    <row r="12" spans="1:9" x14ac:dyDescent="0.3">
      <c r="A12" s="7" t="s">
        <v>342</v>
      </c>
      <c r="B12" s="8" t="s">
        <v>451</v>
      </c>
      <c r="C12" s="8" t="s">
        <v>752</v>
      </c>
      <c r="D12" s="8" t="s">
        <v>462</v>
      </c>
      <c r="E12" s="8" t="s">
        <v>753</v>
      </c>
      <c r="F12" s="8" t="s">
        <v>302</v>
      </c>
      <c r="G12" s="8" t="s">
        <v>335</v>
      </c>
      <c r="H12" s="8" t="s">
        <v>446</v>
      </c>
      <c r="I12" s="8" t="s">
        <v>233</v>
      </c>
    </row>
    <row r="13" spans="1:9" ht="26.4" x14ac:dyDescent="0.3">
      <c r="A13" s="7" t="s">
        <v>343</v>
      </c>
      <c r="B13" s="8" t="s">
        <v>466</v>
      </c>
      <c r="C13" s="8" t="s">
        <v>754</v>
      </c>
      <c r="D13" s="8" t="s">
        <v>454</v>
      </c>
      <c r="E13" s="8" t="s">
        <v>755</v>
      </c>
      <c r="F13" s="8" t="s">
        <v>756</v>
      </c>
      <c r="G13" s="8" t="s">
        <v>757</v>
      </c>
      <c r="H13" s="8" t="s">
        <v>446</v>
      </c>
      <c r="I13" s="8" t="s">
        <v>231</v>
      </c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tabSelected="1" zoomScale="91" zoomScaleNormal="9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L5" sqref="L5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 t="s">
        <v>231</v>
      </c>
      <c r="C5" s="8" t="s">
        <v>758</v>
      </c>
      <c r="D5" s="8" t="s">
        <v>759</v>
      </c>
      <c r="E5" s="8" t="s">
        <v>760</v>
      </c>
      <c r="F5" s="8" t="s">
        <v>761</v>
      </c>
      <c r="G5" s="8" t="s">
        <v>343</v>
      </c>
      <c r="H5" s="8" t="s">
        <v>170</v>
      </c>
      <c r="I5" s="8" t="s">
        <v>762</v>
      </c>
      <c r="J5" s="8" t="s">
        <v>763</v>
      </c>
      <c r="K5" s="8" t="s">
        <v>448</v>
      </c>
      <c r="L5" s="8" t="s">
        <v>764</v>
      </c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7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6</v>
      </c>
    </row>
    <row r="21" spans="1:4" x14ac:dyDescent="0.3">
      <c r="A21" s="17" t="s">
        <v>390</v>
      </c>
      <c r="B21" s="18">
        <f>COUNTA('9_Automacao'!E6:E25)</f>
        <v>8</v>
      </c>
    </row>
    <row r="22" spans="1:4" x14ac:dyDescent="0.3">
      <c r="A22" s="17" t="s">
        <v>391</v>
      </c>
      <c r="B22" s="18">
        <f>COUNTIF('9_Automacao'!H6:H25,"Passou")</f>
        <v>4</v>
      </c>
    </row>
    <row r="23" spans="1:4" x14ac:dyDescent="0.3">
      <c r="A23" s="17" t="s">
        <v>392</v>
      </c>
      <c r="B23" s="18">
        <f>COUNTIF('9_Automacao'!H6:H25,"Falhou")</f>
        <v>4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/>
      <c r="C26" s="24"/>
      <c r="D26" s="9" t="s">
        <v>395</v>
      </c>
    </row>
    <row r="27" spans="1:4" ht="48" customHeight="1" x14ac:dyDescent="0.3">
      <c r="A27" s="7" t="s">
        <v>396</v>
      </c>
      <c r="B27" s="24"/>
      <c r="C27" s="24"/>
    </row>
    <row r="28" spans="1:4" ht="48" customHeight="1" x14ac:dyDescent="0.3">
      <c r="A28" s="7" t="s">
        <v>397</v>
      </c>
      <c r="B28" s="24"/>
      <c r="C28" s="24"/>
    </row>
    <row r="29" spans="1:4" ht="48" customHeight="1" x14ac:dyDescent="0.3">
      <c r="A29" s="7" t="s">
        <v>398</v>
      </c>
      <c r="B29" s="24"/>
      <c r="C29" s="24"/>
    </row>
    <row r="30" spans="1:4" ht="18" customHeight="1" x14ac:dyDescent="0.3">
      <c r="A30" s="7" t="s">
        <v>399</v>
      </c>
      <c r="B30" s="24"/>
      <c r="C30" s="24"/>
      <c r="D30" s="9" t="s">
        <v>400</v>
      </c>
    </row>
    <row r="31" spans="1:4" ht="48" customHeight="1" x14ac:dyDescent="0.3">
      <c r="A31" s="7" t="s">
        <v>401</v>
      </c>
      <c r="B31" s="24"/>
      <c r="C31" s="24"/>
      <c r="D31" s="9" t="s">
        <v>402</v>
      </c>
    </row>
    <row r="32" spans="1:4" ht="48" customHeight="1" x14ac:dyDescent="0.3">
      <c r="A32" s="7" t="s">
        <v>403</v>
      </c>
      <c r="B32" s="24"/>
      <c r="C32" s="24"/>
    </row>
    <row r="33" spans="1:3" ht="48" customHeight="1" x14ac:dyDescent="0.3">
      <c r="A33" s="7" t="s">
        <v>404</v>
      </c>
      <c r="B33" s="24"/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2026-10-30T21:54:28Z</dcterms:modified>
  <dc:language>en-US</dc:language>
</cp:coreProperties>
</file>