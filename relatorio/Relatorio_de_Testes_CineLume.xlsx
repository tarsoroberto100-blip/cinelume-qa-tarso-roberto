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Documents\cinelume-qa\relatorio\"/>
    </mc:Choice>
  </mc:AlternateContent>
  <xr:revisionPtr revIDLastSave="0" documentId="13_ncr:1_{30E690AC-FC46-4F6B-AAC8-19ED7389204B}" xr6:coauthVersionLast="47" xr6:coauthVersionMax="47" xr10:uidLastSave="{00000000-0000-0000-0000-000000000000}"/>
  <bookViews>
    <workbookView xWindow="24" yWindow="24" windowWidth="23016" windowHeight="12216" tabRatio="500" firstSheet="2" activeTab="2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8_Caixa_Branca" sheetId="9" r:id="rId9"/>
    <sheet name="9_Automacao" sheetId="10" r:id="rId10"/>
    <sheet name="10_Correcao" sheetId="11" r:id="rId11"/>
    <sheet name="11_Relatorio_Final" sheetId="12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10" i="12" s="1"/>
  <c r="B5" i="12"/>
</calcChain>
</file>

<file path=xl/sharedStrings.xml><?xml version="1.0" encoding="utf-8"?>
<sst xmlns="http://schemas.openxmlformats.org/spreadsheetml/2006/main" count="608" uniqueCount="510">
  <si>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</si>
  <si>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</si>
  <si>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</si>
  <si>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</si>
  <si>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</si>
  <si>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</si>
  <si>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</si>
  <si>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</si>
  <si>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</si>
  <si>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</si>
  <si>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</si>
  <si>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</si>
  <si>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</si>
  <si>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</si>
  <si>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</si>
  <si>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</si>
  <si>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</si>
  <si>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</si>
  <si>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</si>
  <si>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</si>
  <si>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</si>
  <si>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</si>
  <si>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</si>
  <si>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</si>
  <si>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</si>
  <si>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</si>
  <si>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</si>
  <si>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</si>
  <si>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</si>
  <si>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</si>
  <si>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</si>
  <si>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</si>
  <si>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</si>
  <si>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</si>
  <si>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</si>
  <si>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</si>
  <si>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</si>
  <si>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</si>
  <si>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</si>
  <si>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</si>
  <si>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</si>
  <si>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</si>
  <si>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</si>
  <si>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</si>
  <si>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</si>
  <si>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</si>
  <si>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</si>
  <si>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</si>
  <si>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</si>
  <si>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</si>
  <si>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</si>
  <si>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</si>
  <si>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</si>
  <si>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</si>
  <si>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</si>
  <si>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</si>
  <si>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</si>
  <si>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</si>
  <si>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</si>
  <si>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</si>
  <si>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</si>
  <si>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</si>
  <si>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</si>
  <si>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</si>
  <si>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</si>
  <si>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</si>
  <si>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</si>
  <si>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</si>
  <si>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</si>
  <si>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</si>
  <si>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</si>
  <si>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</si>
  <si>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</si>
  <si>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</si>
  <si>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</si>
  <si>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</si>
  <si>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</si>
  <si>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</si>
  <si>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</si>
  <si>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</si>
  <si>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</si>
  <si>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</si>
  <si>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</si>
  <si>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</si>
  <si>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</si>
  <si>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</si>
  <si>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</si>
  <si>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</si>
  <si>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</si>
  <si>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</si>
  <si>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</si>
  <si>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</si>
  <si>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</si>
  <si>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</si>
  <si>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</si>
  <si>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</si>
  <si>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</si>
  <si>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</si>
  <si>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</si>
  <si>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</si>
  <si>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</si>
  <si>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</si>
  <si>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</si>
  <si>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</si>
  <si>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</si>
  <si>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</si>
  <si>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</si>
  <si>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</si>
  <si>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</si>
  <si>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</si>
  <si>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</si>
  <si>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</si>
  <si>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</si>
  <si>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</si>
  <si>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</si>
  <si>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</si>
  <si>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</si>
  <si>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</si>
  <si>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</si>
  <si>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</si>
  <si>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</si>
  <si>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</si>
  <si>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</si>
  <si>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</si>
  <si>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</si>
  <si>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</si>
  <si>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</si>
  <si>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</si>
  <si>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</si>
  <si>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</si>
  <si>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</si>
  <si>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</si>
  <si>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</si>
  <si>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</si>
  <si>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</si>
  <si>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</si>
  <si>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</si>
  <si>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</si>
  <si>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</si>
  <si>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</si>
  <si>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</si>
  <si>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</si>
  <si>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</si>
  <si>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</si>
  <si>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</si>
  <si>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</si>
  <si>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</si>
  <si>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</si>
  <si>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</si>
  <si>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</si>
  <si>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</si>
  <si>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</si>
  <si>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</si>
  <si>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</si>
  <si>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</si>
  <si>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</si>
  <si>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</si>
  <si>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</si>
  <si>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</si>
  <si>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</si>
  <si>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</si>
  <si>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</si>
  <si>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</si>
  <si>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</si>
  <si>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</si>
  <si>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</si>
  <si>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</si>
  <si>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</si>
  <si>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</si>
  <si>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</si>
  <si>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</si>
  <si>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</si>
  <si>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</si>
  <si>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</si>
  <si>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</si>
  <si>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</si>
  <si>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</si>
  <si>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</si>
  <si>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</si>
  <si>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</si>
  <si>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</si>
  <si>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</si>
  <si>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</si>
  <si>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</si>
  <si>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</si>
  <si>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</si>
  <si>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</si>
  <si>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</si>
  <si>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</si>
  <si>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</si>
  <si>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</si>
  <si>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</si>
  <si>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</si>
  <si>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</si>
  <si>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</si>
  <si>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</si>
  <si>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</si>
  <si>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</si>
  <si>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</si>
  <si>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</si>
  <si>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</si>
  <si>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</si>
  <si>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</si>
  <si>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</si>
  <si>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</si>
  <si>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</si>
  <si>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</si>
  <si>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</si>
  <si>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</si>
  <si>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</si>
  <si>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</si>
  <si>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</si>
  <si>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</si>
  <si>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</si>
  <si>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</si>
  <si>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</si>
  <si>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</si>
  <si>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</si>
  <si>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</si>
  <si>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</si>
  <si>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</si>
  <si>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</si>
  <si>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</si>
  <si>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</si>
  <si>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</si>
  <si>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</si>
  <si>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</si>
  <si>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</si>
  <si>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</si>
  <si>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</si>
  <si>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</si>
  <si>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</si>
  <si>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</si>
  <si>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</si>
  <si>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</si>
  <si>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</si>
  <si>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</si>
  <si>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</si>
  <si>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</si>
  <si>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</si>
  <si>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</si>
  <si>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</si>
  <si>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</si>
  <si>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</si>
  <si>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</si>
  <si>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</si>
  <si>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</si>
  <si>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</si>
  <si>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</si>
  <si>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</si>
  <si>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</si>
  <si>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</si>
  <si>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</si>
  <si>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</si>
  <si>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</si>
  <si>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</si>
  <si>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</si>
  <si>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</si>
  <si>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</si>
  <si>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</si>
  <si>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</si>
  <si>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</si>
  <si>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</si>
  <si>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</si>
  <si>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</si>
  <si>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</si>
  <si>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</si>
  <si>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</si>
  <si>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</si>
  <si>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</si>
  <si>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</si>
  <si>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</si>
  <si>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</si>
  <si>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</si>
  <si>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</si>
  <si>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</si>
  <si>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</si>
  <si>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</si>
  <si>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</si>
  <si>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</si>
  <si>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</si>
  <si>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</si>
  <si>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</si>
  <si>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</si>
  <si>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</si>
  <si>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</si>
  <si>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</si>
  <si>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</si>
  <si>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</si>
  <si>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</si>
  <si>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</si>
  <si>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</si>
  <si>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</si>
  <si>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</si>
  <si>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</si>
  <si>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</si>
  <si>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</si>
  <si>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</si>
  <si>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</si>
  <si>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</si>
  <si>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</si>
  <si>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</si>
  <si>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</si>
  <si>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</si>
  <si>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</si>
  <si>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</si>
  <si>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</si>
  <si>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</si>
  <si>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</si>
  <si>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</si>
  <si>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</si>
  <si>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</si>
  <si>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</si>
  <si>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</si>
  <si>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</si>
  <si>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</si>
  <si>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</si>
  <si>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</si>
  <si>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</si>
  <si>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</si>
  <si>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</si>
  <si>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</si>
  <si>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</si>
  <si>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</si>
  <si>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</si>
  <si>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</si>
  <si>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</si>
  <si>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</si>
  <si>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</si>
  <si>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</si>
  <si>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</si>
  <si>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</si>
  <si>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</si>
  <si>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</si>
  <si>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</si>
  <si>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</si>
  <si>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</si>
  <si>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</si>
  <si>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</si>
  <si>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</si>
  <si>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</si>
  <si>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</si>
  <si>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</si>
  <si>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</si>
  <si>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</si>
  <si>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</si>
  <si>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</si>
  <si>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</si>
  <si>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</si>
  <si>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</si>
  <si>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</si>
  <si>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</si>
  <si>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</si>
  <si>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</si>
  <si>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</si>
  <si>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</si>
  <si>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</si>
  <si>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</si>
  <si>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</si>
  <si>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</si>
  <si>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</si>
  <si>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</si>
  <si>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</si>
  <si>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</si>
  <si>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</si>
  <si>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</si>
  <si>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</si>
  <si>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</si>
  <si>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</si>
  <si>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</si>
  <si>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</si>
  <si>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</si>
  <si>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</si>
  <si>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</si>
  <si>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</si>
  <si>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</si>
  <si>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</si>
  <si>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</si>
  <si>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</si>
  <si>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</si>
  <si>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</si>
  <si>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</si>
  <si>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</si>
  <si>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</si>
  <si>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</si>
  <si>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</si>
  <si>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</si>
  <si>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</si>
  <si>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</si>
  <si>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</si>
  <si>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</si>
  <si>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</si>
  <si>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</si>
  <si>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</si>
  <si>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</si>
  <si>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</si>
  <si>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</si>
  <si>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</si>
  <si>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</si>
  <si>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</si>
  <si>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</si>
  <si>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</si>
  <si>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</si>
  <si>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</si>
  <si>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</si>
  <si>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</si>
  <si>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</si>
  <si>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</si>
  <si>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</si>
  <si>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</si>
  <si>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</si>
  <si>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</si>
  <si>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</si>
  <si>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</si>
  <si>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</si>
  <si>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</si>
  <si>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</si>
  <si>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</si>
  <si>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</si>
  <si>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</si>
  <si>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</si>
  <si>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</si>
  <si>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</si>
  <si>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</si>
  <si>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</si>
  <si>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</si>
  <si>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</si>
  <si>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</si>
  <si>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</si>
  <si>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</si>
  <si>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</si>
  <si>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</si>
  <si>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</si>
  <si>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</si>
  <si>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</si>
  <si>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</si>
  <si>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</si>
  <si>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</si>
  <si>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</si>
  <si>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</si>
  <si>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</si>
  <si>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</si>
  <si>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</si>
  <si>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</si>
  <si>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</si>
  <si>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</si>
  <si>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</si>
  <si>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</si>
  <si>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</si>
  <si>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</si>
  <si>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</si>
  <si>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</si>
  <si>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</si>
  <si>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</si>
  <si>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</si>
  <si>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</si>
  <si>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</si>
  <si>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</si>
  <si>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</si>
  <si>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</si>
  <si>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</si>
  <si>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</si>
  <si>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</si>
  <si>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</si>
  <si>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</si>
  <si>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</si>
  <si>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</si>
  <si>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</si>
  <si>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</si>
  <si>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</si>
  <si>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</si>
  <si>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</si>
  <si>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</si>
  <si>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</si>
  <si>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</si>
  <si>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</si>
  <si>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</si>
  <si>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</si>
  <si>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</si>
  <si>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</si>
  <si>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</si>
  <si>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</si>
  <si>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</si>
  <si>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</si>
  <si>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</si>
  <si>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</si>
  <si>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</si>
  <si>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</si>
  <si>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</si>
  <si>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</si>
  <si>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</si>
  <si>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</si>
  <si>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</si>
  <si>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</si>
  <si>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</si>
  <si>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>Tarso Roberto de Andrade Nogueira</t>
  </si>
  <si>
    <t>tarsoroberto100-blip</t>
  </si>
  <si>
    <t>https://github.com/tarsoroberto100-blip/cinelume-qa-tarso-roberto.git</t>
  </si>
  <si>
    <t>Edge, 155.0.4283.62</t>
  </si>
  <si>
    <t>windows 11</t>
  </si>
  <si>
    <t>ok</t>
  </si>
  <si>
    <t>a pagina abriu sem erros</t>
  </si>
  <si>
    <t>os 4 filmes aparecem corretamente em suas respectivas sessões</t>
  </si>
  <si>
    <t>ao escolher a sessão aparece o mapa de acentos</t>
  </si>
  <si>
    <t>o valor aparece quando se escolhe o acento</t>
  </si>
  <si>
    <t>o item foi adicionado corretamente</t>
  </si>
  <si>
    <t>o botão responde a interação</t>
  </si>
  <si>
    <t>as formas de pagamento podem ser selecionadas</t>
  </si>
  <si>
    <t>os dados aparecem corretamente na tela</t>
  </si>
  <si>
    <t>tudo ocorreu corretamente sem erros.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</si>
</sst>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4" fillId="3" borderId="2" xfId="0" applyFont="1" applyFill="1" applyBorder="1" applyAlignment="1">
      <alignment vertical="top" wrapText="1"/>
    </xf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0" fontId="8" fillId="3" borderId="1" xfId="1" applyFill="1" applyBorder="1" applyAlignment="1">
      <alignment vertical="top" wrapText="1"/>
    </xf>
    <xf numFmtId="14" fontId="4" fillId="3" borderId="1" xfId="0" applyNumberFormat="1" applyFont="1" applyFill="1" applyBorder="1" applyAlignment="1">
      <alignment vertical="top" wrapText="1"/>
    </xf>
    <xf numFmtId="0" fontId="9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tarsoroberto100-blip/cinelume-qa-tarso-roberto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topLeftCell="A7" zoomScaleNormal="100" workbookViewId="0">
      <selection activeCell="B2" sqref="B2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2" t="s">
        <v>0</v>
      </c>
    </row>
    <row r="2" spans="1:2" x14ac:dyDescent="0.3">
      <c r="A2" s="3" t="s">
        <v>1</v>
      </c>
    </row>
    <row r="4" spans="1:2" x14ac:dyDescent="0.3">
      <c r="A4" s="4" t="s">
        <v>2</v>
      </c>
      <c r="B4" s="5"/>
    </row>
    <row r="5" spans="1:2" x14ac:dyDescent="0.3">
      <c r="A5" s="6" t="s">
        <v>3</v>
      </c>
      <c r="B5" s="5" t="s">
        <v>4</v>
      </c>
    </row>
    <row r="6" spans="1:2" x14ac:dyDescent="0.3">
      <c r="A6" s="6" t="s">
        <v>5</v>
      </c>
      <c r="B6" s="5" t="s">
        <v>6</v>
      </c>
    </row>
    <row r="7" spans="1:2" x14ac:dyDescent="0.3">
      <c r="A7" s="6" t="s">
        <v>7</v>
      </c>
      <c r="B7" s="5" t="s">
        <v>8</v>
      </c>
    </row>
    <row r="8" spans="1:2" x14ac:dyDescent="0.3">
      <c r="A8" s="6" t="s">
        <v>9</v>
      </c>
      <c r="B8" s="5" t="s">
        <v>10</v>
      </c>
    </row>
    <row r="9" spans="1:2" x14ac:dyDescent="0.3">
      <c r="A9" s="6" t="s">
        <v>11</v>
      </c>
      <c r="B9" s="5" t="s">
        <v>12</v>
      </c>
    </row>
    <row r="10" spans="1:2" x14ac:dyDescent="0.3">
      <c r="A10" s="6" t="s">
        <v>13</v>
      </c>
      <c r="B10" s="5" t="s">
        <v>14</v>
      </c>
    </row>
    <row r="11" spans="1:2" x14ac:dyDescent="0.3">
      <c r="A11" s="6" t="s">
        <v>15</v>
      </c>
      <c r="B11" s="5" t="s">
        <v>16</v>
      </c>
    </row>
    <row r="12" spans="1:2" x14ac:dyDescent="0.3">
      <c r="A12" s="6" t="s">
        <v>17</v>
      </c>
      <c r="B12" s="5" t="s">
        <v>18</v>
      </c>
    </row>
    <row r="13" spans="1:2" x14ac:dyDescent="0.3">
      <c r="A13" s="7"/>
      <c r="B13" s="5"/>
    </row>
    <row r="14" spans="1:2" x14ac:dyDescent="0.3">
      <c r="A14" s="4" t="s">
        <v>19</v>
      </c>
      <c r="B14" s="5"/>
    </row>
    <row r="15" spans="1:2" x14ac:dyDescent="0.3">
      <c r="A15" s="6" t="s">
        <v>20</v>
      </c>
      <c r="B15" s="5" t="s">
        <v>21</v>
      </c>
    </row>
    <row r="16" spans="1:2" x14ac:dyDescent="0.3">
      <c r="A16" s="6" t="s">
        <v>22</v>
      </c>
      <c r="B16" s="5" t="s">
        <v>23</v>
      </c>
    </row>
    <row r="17" spans="1:2" x14ac:dyDescent="0.3">
      <c r="A17" s="6" t="s">
        <v>24</v>
      </c>
      <c r="B17" s="5" t="s">
        <v>25</v>
      </c>
    </row>
    <row r="18" spans="1:2" x14ac:dyDescent="0.3">
      <c r="A18" s="6" t="s">
        <v>26</v>
      </c>
      <c r="B18" s="5" t="s">
        <v>27</v>
      </c>
    </row>
    <row r="19" spans="1:2" x14ac:dyDescent="0.3">
      <c r="A19" s="6" t="s">
        <v>28</v>
      </c>
      <c r="B19" s="5" t="s">
        <v>29</v>
      </c>
    </row>
    <row r="20" spans="1:2" x14ac:dyDescent="0.3">
      <c r="A20" s="6" t="s">
        <v>30</v>
      </c>
      <c r="B20" s="5" t="s">
        <v>31</v>
      </c>
    </row>
    <row r="21" spans="1:2" x14ac:dyDescent="0.3">
      <c r="A21" s="6" t="s">
        <v>32</v>
      </c>
      <c r="B21" s="5" t="s">
        <v>33</v>
      </c>
    </row>
    <row r="22" spans="1:2" x14ac:dyDescent="0.3">
      <c r="A22" s="6" t="s">
        <v>34</v>
      </c>
      <c r="B22" s="5" t="s">
        <v>35</v>
      </c>
    </row>
    <row r="23" spans="1:2" x14ac:dyDescent="0.3">
      <c r="A23" s="6" t="s">
        <v>36</v>
      </c>
      <c r="B23" s="5" t="s">
        <v>37</v>
      </c>
    </row>
    <row r="24" spans="1:2" x14ac:dyDescent="0.3">
      <c r="A24" s="7"/>
      <c r="B24" s="5"/>
    </row>
    <row r="25" spans="1:2" x14ac:dyDescent="0.3">
      <c r="A25" s="4" t="s">
        <v>38</v>
      </c>
      <c r="B25" s="5"/>
    </row>
    <row r="26" spans="1:2" x14ac:dyDescent="0.3">
      <c r="A26" s="6" t="s">
        <v>39</v>
      </c>
      <c r="B26" s="5" t="s">
        <v>40</v>
      </c>
    </row>
    <row r="27" spans="1:2" x14ac:dyDescent="0.3">
      <c r="A27" s="6" t="s">
        <v>41</v>
      </c>
      <c r="B27" s="5" t="s">
        <v>42</v>
      </c>
    </row>
    <row r="28" spans="1:2" x14ac:dyDescent="0.3">
      <c r="A28" s="6" t="s">
        <v>43</v>
      </c>
      <c r="B28" s="5" t="s">
        <v>44</v>
      </c>
    </row>
    <row r="29" spans="1:2" x14ac:dyDescent="0.3">
      <c r="A29" s="6" t="s">
        <v>45</v>
      </c>
      <c r="B29" s="5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2" t="s">
        <v>47</v>
      </c>
    </row>
    <row r="2" spans="1:3" x14ac:dyDescent="0.3">
      <c r="A2" s="3" t="s">
        <v>48</v>
      </c>
    </row>
    <row r="4" spans="1:3" x14ac:dyDescent="0.3">
      <c r="A4" s="8" t="s">
        <v>49</v>
      </c>
      <c r="B4" s="9" t="s">
        <v>495</v>
      </c>
    </row>
    <row r="5" spans="1:3" x14ac:dyDescent="0.3">
      <c r="A5" s="8" t="s">
        <v>50</v>
      </c>
      <c r="B5" s="9" t="s">
        <v>496</v>
      </c>
    </row>
    <row r="6" spans="1:3" x14ac:dyDescent="0.3">
      <c r="A6" s="8" t="s">
        <v>51</v>
      </c>
      <c r="B6" s="21" t="s">
        <v>497</v>
      </c>
      <c r="C6" s="10" t="s">
        <v>52</v>
      </c>
    </row>
    <row r="7" spans="1:3" x14ac:dyDescent="0.3">
      <c r="A7" s="8" t="s">
        <v>53</v>
      </c>
      <c r="B7" s="22">
        <v>46323</v>
      </c>
      <c r="C7" s="10" t="s">
        <v>54</v>
      </c>
    </row>
    <row r="8" spans="1:3" x14ac:dyDescent="0.3">
      <c r="A8" s="8" t="s">
        <v>55</v>
      </c>
      <c r="B8" s="23" t="s">
        <v>498</v>
      </c>
      <c r="C8" s="10" t="s">
        <v>56</v>
      </c>
    </row>
    <row r="9" spans="1:3" x14ac:dyDescent="0.3">
      <c r="A9" s="8" t="s">
        <v>57</v>
      </c>
      <c r="B9" s="23" t="s">
        <v>499</v>
      </c>
      <c r="C9" s="10" t="s">
        <v>58</v>
      </c>
    </row>
    <row r="10" spans="1:3" x14ac:dyDescent="0.3">
      <c r="A10" s="8" t="s">
        <v>59</v>
      </c>
      <c r="B10" s="24">
        <v>0.80208333333333337</v>
      </c>
      <c r="C10" s="10" t="s">
        <v>60</v>
      </c>
    </row>
    <row r="11" spans="1:3" x14ac:dyDescent="0.3">
      <c r="A11" s="8" t="s">
        <v>61</v>
      </c>
      <c r="B11" s="9"/>
      <c r="C11" s="10" t="s">
        <v>60</v>
      </c>
    </row>
  </sheetData>
  <hyperlinks>
    <hyperlink ref="B6" r:id="rId1" xr:uid="{056DF173-E09F-42D3-AEE7-F33CE03D49E0}"/>
  </hyperlinks>
  <pageMargins left="0.75" right="0.75" top="1" bottom="1" header="0.511811023622047" footer="0.511811023622047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21" sqref="C21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2" t="s">
        <v>62</v>
      </c>
    </row>
    <row r="2" spans="1:4" x14ac:dyDescent="0.3">
      <c r="A2" s="3" t="s">
        <v>63</v>
      </c>
    </row>
    <row r="4" spans="1:4" ht="31.5" customHeight="1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8" t="s">
        <v>68</v>
      </c>
      <c r="B5" s="12" t="s">
        <v>69</v>
      </c>
      <c r="C5" s="23" t="s">
        <v>500</v>
      </c>
      <c r="D5" s="23" t="s">
        <v>501</v>
      </c>
    </row>
    <row r="6" spans="1:4" x14ac:dyDescent="0.3">
      <c r="A6" s="8" t="s">
        <v>70</v>
      </c>
      <c r="B6" s="12" t="s">
        <v>71</v>
      </c>
      <c r="C6" s="23" t="s">
        <v>500</v>
      </c>
      <c r="D6" s="23" t="s">
        <v>502</v>
      </c>
    </row>
    <row r="7" spans="1:4" x14ac:dyDescent="0.3">
      <c r="A7" s="8" t="s">
        <v>72</v>
      </c>
      <c r="B7" s="12" t="s">
        <v>73</v>
      </c>
      <c r="C7" s="23" t="s">
        <v>500</v>
      </c>
      <c r="D7" s="23" t="s">
        <v>503</v>
      </c>
    </row>
    <row r="8" spans="1:4" x14ac:dyDescent="0.3">
      <c r="A8" s="8" t="s">
        <v>74</v>
      </c>
      <c r="B8" s="12" t="s">
        <v>75</v>
      </c>
      <c r="C8" s="23" t="s">
        <v>500</v>
      </c>
      <c r="D8" s="23" t="s">
        <v>504</v>
      </c>
    </row>
    <row r="9" spans="1:4" x14ac:dyDescent="0.3">
      <c r="A9" s="8" t="s">
        <v>76</v>
      </c>
      <c r="B9" s="12" t="s">
        <v>77</v>
      </c>
      <c r="C9" s="23" t="s">
        <v>500</v>
      </c>
      <c r="D9" s="23" t="s">
        <v>505</v>
      </c>
    </row>
    <row r="10" spans="1:4" x14ac:dyDescent="0.3">
      <c r="A10" s="8" t="s">
        <v>78</v>
      </c>
      <c r="B10" s="12" t="s">
        <v>79</v>
      </c>
      <c r="C10" s="23" t="s">
        <v>500</v>
      </c>
      <c r="D10" s="23" t="s">
        <v>506</v>
      </c>
    </row>
    <row r="11" spans="1:4" x14ac:dyDescent="0.3">
      <c r="A11" s="8" t="s">
        <v>80</v>
      </c>
      <c r="B11" s="12" t="s">
        <v>81</v>
      </c>
      <c r="C11" s="23" t="s">
        <v>500</v>
      </c>
      <c r="D11" s="23" t="s">
        <v>507</v>
      </c>
    </row>
    <row r="12" spans="1:4" x14ac:dyDescent="0.3">
      <c r="A12" s="8" t="s">
        <v>82</v>
      </c>
      <c r="B12" s="12" t="s">
        <v>83</v>
      </c>
      <c r="C12" s="23" t="s">
        <v>500</v>
      </c>
      <c r="D12" s="23" t="s">
        <v>508</v>
      </c>
    </row>
    <row r="15" spans="1:4" x14ac:dyDescent="0.3">
      <c r="A15" s="13" t="s">
        <v>84</v>
      </c>
      <c r="B15" s="14" t="s">
        <v>437</v>
      </c>
    </row>
    <row r="16" spans="1:4" ht="45" customHeight="1" x14ac:dyDescent="0.3">
      <c r="A16" s="13" t="s">
        <v>85</v>
      </c>
      <c r="B16" s="14" t="s">
        <v>509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6" width="50" customWidth="1"/>
  </cols>
  <sheetData>
    <row r="1" spans="1:6" ht="17.399999999999999" x14ac:dyDescent="0.3">
      <c r="A1" s="2" t="s">
        <v>86</v>
      </c>
    </row>
    <row r="2" spans="1:6" x14ac:dyDescent="0.3">
      <c r="A2" s="3" t="s">
        <v>87</v>
      </c>
    </row>
    <row r="4" spans="1:6" ht="31.5" customHeight="1" x14ac:dyDescent="0.3">
      <c r="A4" s="11" t="s">
        <v>64</v>
      </c>
      <c r="B4" s="11" t="s">
        <v>88</v>
      </c>
      <c r="C4" s="11" t="s">
        <v>89</v>
      </c>
      <c r="D4" s="11" t="s">
        <v>90</v>
      </c>
      <c r="E4" s="11" t="s">
        <v>91</v>
      </c>
      <c r="F4" s="11" t="s">
        <v>92</v>
      </c>
    </row>
    <row r="5" spans="1:6" ht="26.4" x14ac:dyDescent="0.3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</row>
    <row r="6" spans="1:6" x14ac:dyDescent="0.3">
      <c r="A6" s="8" t="s">
        <v>99</v>
      </c>
      <c r="B6" s="9"/>
      <c r="C6" s="9"/>
      <c r="D6" s="9"/>
      <c r="E6" s="9"/>
      <c r="F6" s="9"/>
    </row>
    <row r="7" spans="1:6" x14ac:dyDescent="0.3">
      <c r="A7" s="8" t="s">
        <v>100</v>
      </c>
      <c r="B7" s="9"/>
      <c r="C7" s="9"/>
      <c r="D7" s="9"/>
      <c r="E7" s="9"/>
      <c r="F7" s="9"/>
    </row>
    <row r="8" spans="1:6" x14ac:dyDescent="0.3">
      <c r="A8" s="8" t="s">
        <v>101</v>
      </c>
      <c r="B8" s="9"/>
      <c r="C8" s="9"/>
      <c r="D8" s="9"/>
      <c r="E8" s="9"/>
      <c r="F8" s="9"/>
    </row>
    <row r="9" spans="1:6" x14ac:dyDescent="0.3">
      <c r="A9" s="8" t="s">
        <v>102</v>
      </c>
      <c r="B9" s="9"/>
      <c r="C9" s="9"/>
      <c r="D9" s="9"/>
      <c r="E9" s="9"/>
      <c r="F9" s="9"/>
    </row>
    <row r="10" spans="1:6" x14ac:dyDescent="0.3">
      <c r="A10" s="8" t="s">
        <v>103</v>
      </c>
      <c r="B10" s="9"/>
      <c r="C10" s="9"/>
      <c r="D10" s="9"/>
      <c r="E10" s="9"/>
      <c r="F10" s="9"/>
    </row>
    <row r="11" spans="1:6" x14ac:dyDescent="0.3">
      <c r="A11" s="8" t="s">
        <v>104</v>
      </c>
      <c r="B11" s="9"/>
      <c r="C11" s="9"/>
      <c r="D11" s="9"/>
      <c r="E11" s="9"/>
      <c r="F11" s="9"/>
    </row>
    <row r="12" spans="1:6" x14ac:dyDescent="0.3">
      <c r="A12" s="8" t="s">
        <v>105</v>
      </c>
      <c r="B12" s="9"/>
      <c r="C12" s="9"/>
      <c r="D12" s="9"/>
      <c r="E12" s="9"/>
      <c r="F12" s="9"/>
    </row>
    <row r="13" spans="1:6" x14ac:dyDescent="0.3">
      <c r="A13" s="8" t="s">
        <v>106</v>
      </c>
      <c r="B13" s="9"/>
      <c r="C13" s="9"/>
      <c r="D13" s="9"/>
      <c r="E13" s="9"/>
      <c r="F13" s="9"/>
    </row>
    <row r="14" spans="1:6" x14ac:dyDescent="0.3">
      <c r="A14" s="8" t="s">
        <v>107</v>
      </c>
      <c r="B14" s="9"/>
      <c r="C14" s="9"/>
      <c r="D14" s="9"/>
      <c r="E14" s="9"/>
      <c r="F14" s="9"/>
    </row>
    <row r="15" spans="1:6" x14ac:dyDescent="0.3">
      <c r="A15" s="8" t="s">
        <v>108</v>
      </c>
      <c r="B15" s="9"/>
      <c r="C15" s="9"/>
      <c r="D15" s="9"/>
      <c r="E15" s="9"/>
      <c r="F1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zoomScaleNormal="100" workbookViewId="0"/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2" t="s">
        <v>109</v>
      </c>
    </row>
    <row r="2" spans="1:3" x14ac:dyDescent="0.3">
      <c r="A2" s="3" t="s">
        <v>110</v>
      </c>
    </row>
    <row r="4" spans="1:3" ht="42" customHeight="1" x14ac:dyDescent="0.3">
      <c r="A4" s="8" t="s">
        <v>111</v>
      </c>
      <c r="B4" s="9"/>
    </row>
    <row r="5" spans="1:3" ht="42" customHeight="1" x14ac:dyDescent="0.3">
      <c r="A5" s="8" t="s">
        <v>112</v>
      </c>
      <c r="B5" s="9"/>
      <c r="C5" s="10" t="s">
        <v>113</v>
      </c>
    </row>
    <row r="6" spans="1:3" ht="42" customHeight="1" x14ac:dyDescent="0.3">
      <c r="A6" s="8" t="s">
        <v>114</v>
      </c>
      <c r="B6" s="9"/>
    </row>
    <row r="7" spans="1:3" ht="42" customHeight="1" x14ac:dyDescent="0.3">
      <c r="A7" s="8" t="s">
        <v>115</v>
      </c>
      <c r="B7" s="9"/>
      <c r="C7" s="10" t="s">
        <v>116</v>
      </c>
    </row>
    <row r="8" spans="1:3" ht="42" customHeight="1" x14ac:dyDescent="0.3">
      <c r="A8" s="8" t="s">
        <v>117</v>
      </c>
      <c r="B8" s="9"/>
    </row>
    <row r="9" spans="1:3" ht="42" customHeight="1" x14ac:dyDescent="0.3">
      <c r="A9" s="8" t="s">
        <v>118</v>
      </c>
      <c r="B9" s="9"/>
      <c r="C9" s="10" t="s">
        <v>119</v>
      </c>
    </row>
    <row r="10" spans="1:3" ht="42" customHeight="1" x14ac:dyDescent="0.3">
      <c r="A10" s="8" t="s">
        <v>120</v>
      </c>
      <c r="B10" s="9"/>
      <c r="C10" s="10" t="s">
        <v>121</v>
      </c>
    </row>
    <row r="11" spans="1:3" ht="42" customHeight="1" x14ac:dyDescent="0.3">
      <c r="A11" s="8" t="s">
        <v>122</v>
      </c>
      <c r="B11" s="9"/>
      <c r="C11" s="10" t="s">
        <v>123</v>
      </c>
    </row>
    <row r="12" spans="1:3" ht="42" customHeight="1" x14ac:dyDescent="0.3">
      <c r="A12" s="8" t="s">
        <v>124</v>
      </c>
      <c r="B12" s="9"/>
      <c r="C12" s="10" t="s">
        <v>125</v>
      </c>
    </row>
    <row r="13" spans="1:3" ht="42" customHeight="1" x14ac:dyDescent="0.3">
      <c r="A13" s="8" t="s">
        <v>126</v>
      </c>
      <c r="B13" s="9"/>
      <c r="C13" s="10" t="s">
        <v>127</v>
      </c>
    </row>
    <row r="14" spans="1:3" ht="42" customHeight="1" x14ac:dyDescent="0.3">
      <c r="A14" s="8" t="s">
        <v>128</v>
      </c>
      <c r="B14" s="9"/>
      <c r="C14" s="10" t="s">
        <v>129</v>
      </c>
    </row>
    <row r="17" spans="1:3" x14ac:dyDescent="0.3">
      <c r="A17" s="4" t="s">
        <v>130</v>
      </c>
    </row>
    <row r="18" spans="1:3" x14ac:dyDescent="0.3">
      <c r="A18" s="11" t="s">
        <v>131</v>
      </c>
      <c r="B18" s="11" t="s">
        <v>132</v>
      </c>
      <c r="C18" s="11" t="s">
        <v>133</v>
      </c>
    </row>
    <row r="19" spans="1:3" x14ac:dyDescent="0.3">
      <c r="A19" s="13" t="s">
        <v>134</v>
      </c>
      <c r="B19" s="9"/>
      <c r="C19" s="9"/>
    </row>
    <row r="20" spans="1:3" x14ac:dyDescent="0.3">
      <c r="A20" s="13" t="s">
        <v>135</v>
      </c>
      <c r="B20" s="9"/>
      <c r="C20" s="9"/>
    </row>
    <row r="21" spans="1:3" x14ac:dyDescent="0.3">
      <c r="A21" s="13" t="s">
        <v>136</v>
      </c>
      <c r="B21" s="9"/>
      <c r="C21" s="9"/>
    </row>
    <row r="22" spans="1:3" x14ac:dyDescent="0.3">
      <c r="A22" s="13" t="s">
        <v>137</v>
      </c>
      <c r="B22" s="9"/>
      <c r="C22" s="9"/>
    </row>
    <row r="23" spans="1:3" x14ac:dyDescent="0.3">
      <c r="A23" s="13" t="s">
        <v>138</v>
      </c>
      <c r="B23" s="9"/>
      <c r="C23" s="9"/>
    </row>
    <row r="24" spans="1:3" x14ac:dyDescent="0.3">
      <c r="A24" s="13" t="s">
        <v>139</v>
      </c>
      <c r="B24" s="9"/>
      <c r="C24" s="9"/>
    </row>
    <row r="25" spans="1:3" x14ac:dyDescent="0.3">
      <c r="A25" s="13" t="s">
        <v>140</v>
      </c>
      <c r="B25" s="9"/>
      <c r="C25" s="9"/>
    </row>
    <row r="26" spans="1:3" x14ac:dyDescent="0.3">
      <c r="A26" s="13" t="s">
        <v>141</v>
      </c>
      <c r="B26" s="9"/>
      <c r="C26" s="9"/>
    </row>
    <row r="27" spans="1:3" x14ac:dyDescent="0.3">
      <c r="A27" s="13" t="s">
        <v>142</v>
      </c>
      <c r="B27" s="9"/>
      <c r="C27" s="9"/>
    </row>
    <row r="28" spans="1:3" x14ac:dyDescent="0.3">
      <c r="A28" s="13" t="s">
        <v>143</v>
      </c>
      <c r="B28" s="9"/>
      <c r="C28" s="9"/>
    </row>
    <row r="29" spans="1:3" x14ac:dyDescent="0.3">
      <c r="A29" s="13" t="s">
        <v>144</v>
      </c>
      <c r="B29" s="9"/>
      <c r="C29" s="9"/>
    </row>
    <row r="30" spans="1:3" x14ac:dyDescent="0.3">
      <c r="A30" s="13" t="s">
        <v>145</v>
      </c>
      <c r="B30" s="9"/>
      <c r="C3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25" sqref="E25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2" t="s">
        <v>146</v>
      </c>
    </row>
    <row r="2" spans="1:15" x14ac:dyDescent="0.3">
      <c r="A2" s="3" t="s">
        <v>147</v>
      </c>
    </row>
    <row r="4" spans="1:15" ht="31.5" customHeight="1" x14ac:dyDescent="0.3">
      <c r="A4" s="11" t="s">
        <v>64</v>
      </c>
      <c r="B4" s="11" t="s">
        <v>88</v>
      </c>
      <c r="C4" s="11" t="s">
        <v>148</v>
      </c>
      <c r="D4" s="11" t="s">
        <v>149</v>
      </c>
      <c r="E4" s="11" t="s">
        <v>131</v>
      </c>
      <c r="F4" s="11" t="s">
        <v>150</v>
      </c>
      <c r="G4" s="11" t="s">
        <v>151</v>
      </c>
      <c r="H4" s="11" t="s">
        <v>152</v>
      </c>
      <c r="I4" s="11" t="s">
        <v>153</v>
      </c>
      <c r="J4" s="11" t="s">
        <v>154</v>
      </c>
      <c r="K4" s="11" t="s">
        <v>155</v>
      </c>
      <c r="L4" s="11" t="s">
        <v>156</v>
      </c>
      <c r="M4" s="11" t="s">
        <v>157</v>
      </c>
      <c r="N4" s="11" t="s">
        <v>158</v>
      </c>
      <c r="O4" s="11" t="s">
        <v>159</v>
      </c>
    </row>
    <row r="5" spans="1:15" ht="39.6" x14ac:dyDescent="0.3">
      <c r="A5" s="15" t="s">
        <v>160</v>
      </c>
      <c r="B5" s="15" t="s">
        <v>94</v>
      </c>
      <c r="C5" s="15" t="s">
        <v>161</v>
      </c>
      <c r="D5" s="15" t="s">
        <v>162</v>
      </c>
      <c r="E5" s="15" t="s">
        <v>134</v>
      </c>
      <c r="F5" s="15" t="s">
        <v>163</v>
      </c>
      <c r="G5" s="15" t="s">
        <v>164</v>
      </c>
      <c r="H5" s="15" t="s">
        <v>165</v>
      </c>
      <c r="I5" s="15" t="s">
        <v>166</v>
      </c>
      <c r="J5" s="15" t="s">
        <v>167</v>
      </c>
      <c r="K5" s="15" t="s">
        <v>168</v>
      </c>
      <c r="L5" s="15" t="s">
        <v>169</v>
      </c>
      <c r="M5" s="15" t="s">
        <v>170</v>
      </c>
      <c r="N5" s="15"/>
      <c r="O5" s="15"/>
    </row>
    <row r="6" spans="1:15" x14ac:dyDescent="0.3">
      <c r="A6" s="8" t="s">
        <v>171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172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173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174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175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176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177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178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179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180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181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182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183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184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185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186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187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188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189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190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191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192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193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194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195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196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197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198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199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200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x14ac:dyDescent="0.3">
      <c r="A36" s="8" t="s">
        <v>201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x14ac:dyDescent="0.3">
      <c r="A37" s="8" t="s">
        <v>202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x14ac:dyDescent="0.3">
      <c r="A38" s="8" t="s">
        <v>203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1:15" x14ac:dyDescent="0.3">
      <c r="A39" s="8" t="s">
        <v>204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1:15" x14ac:dyDescent="0.3">
      <c r="A40" s="8" t="s">
        <v>205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x14ac:dyDescent="0.3">
      <c r="A41" s="8" t="s">
        <v>206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x14ac:dyDescent="0.3">
      <c r="A42" s="8" t="s">
        <v>207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x14ac:dyDescent="0.3">
      <c r="A43" s="8" t="s">
        <v>208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x14ac:dyDescent="0.3">
      <c r="A44" s="8" t="s">
        <v>209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x14ac:dyDescent="0.3">
      <c r="A45" s="8" t="s">
        <v>210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2" t="s">
        <v>211</v>
      </c>
    </row>
    <row r="2" spans="1:15" x14ac:dyDescent="0.3">
      <c r="A2" s="3" t="s">
        <v>212</v>
      </c>
    </row>
    <row r="4" spans="1:15" ht="31.5" customHeight="1" x14ac:dyDescent="0.3">
      <c r="A4" s="11" t="s">
        <v>64</v>
      </c>
      <c r="B4" s="11" t="s">
        <v>151</v>
      </c>
      <c r="C4" s="11" t="s">
        <v>213</v>
      </c>
      <c r="D4" s="11" t="s">
        <v>148</v>
      </c>
      <c r="E4" s="11" t="s">
        <v>214</v>
      </c>
      <c r="F4" s="11" t="s">
        <v>131</v>
      </c>
      <c r="G4" s="11" t="s">
        <v>38</v>
      </c>
      <c r="H4" s="11" t="s">
        <v>215</v>
      </c>
      <c r="I4" s="11" t="s">
        <v>216</v>
      </c>
      <c r="J4" s="11" t="s">
        <v>217</v>
      </c>
      <c r="K4" s="11" t="s">
        <v>155</v>
      </c>
      <c r="L4" s="11" t="s">
        <v>156</v>
      </c>
      <c r="M4" s="11" t="s">
        <v>159</v>
      </c>
      <c r="N4" s="11" t="s">
        <v>218</v>
      </c>
      <c r="O4" s="11" t="s">
        <v>219</v>
      </c>
    </row>
    <row r="5" spans="1:15" ht="39.6" x14ac:dyDescent="0.3">
      <c r="A5" s="15" t="s">
        <v>220</v>
      </c>
      <c r="B5" s="15" t="s">
        <v>221</v>
      </c>
      <c r="C5" s="15" t="s">
        <v>222</v>
      </c>
      <c r="D5" s="15" t="s">
        <v>223</v>
      </c>
      <c r="E5" s="15" t="s">
        <v>160</v>
      </c>
      <c r="F5" s="15" t="s">
        <v>134</v>
      </c>
      <c r="G5" s="15" t="s">
        <v>45</v>
      </c>
      <c r="H5" s="15" t="s">
        <v>43</v>
      </c>
      <c r="I5" s="15" t="s">
        <v>224</v>
      </c>
      <c r="J5" s="15" t="s">
        <v>225</v>
      </c>
      <c r="K5" s="15" t="s">
        <v>226</v>
      </c>
      <c r="L5" s="15" t="s">
        <v>227</v>
      </c>
      <c r="M5" s="15" t="s">
        <v>228</v>
      </c>
      <c r="N5" s="15" t="s">
        <v>229</v>
      </c>
      <c r="O5" s="15" t="s">
        <v>230</v>
      </c>
    </row>
    <row r="6" spans="1:15" x14ac:dyDescent="0.3">
      <c r="A6" s="8" t="s">
        <v>231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232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233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234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235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236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237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238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239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240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241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242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243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244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245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246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247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248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249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250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251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252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253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254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255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256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257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258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259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260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2" t="s">
        <v>261</v>
      </c>
    </row>
    <row r="2" spans="1:10" x14ac:dyDescent="0.3">
      <c r="A2" s="3" t="s">
        <v>262</v>
      </c>
    </row>
    <row r="4" spans="1:10" ht="31.5" customHeight="1" x14ac:dyDescent="0.3">
      <c r="A4" s="11" t="s">
        <v>64</v>
      </c>
      <c r="B4" s="11" t="s">
        <v>131</v>
      </c>
      <c r="C4" s="11" t="s">
        <v>88</v>
      </c>
      <c r="D4" s="11" t="s">
        <v>263</v>
      </c>
      <c r="E4" s="11" t="s">
        <v>264</v>
      </c>
      <c r="F4" s="11" t="s">
        <v>265</v>
      </c>
      <c r="G4" s="11" t="s">
        <v>266</v>
      </c>
      <c r="H4" s="11" t="s">
        <v>157</v>
      </c>
      <c r="I4" s="11" t="s">
        <v>158</v>
      </c>
      <c r="J4" s="11" t="s">
        <v>159</v>
      </c>
    </row>
    <row r="5" spans="1:10" ht="26.4" x14ac:dyDescent="0.3">
      <c r="A5" s="15" t="s">
        <v>267</v>
      </c>
      <c r="B5" s="15" t="s">
        <v>139</v>
      </c>
      <c r="C5" s="15" t="s">
        <v>268</v>
      </c>
      <c r="D5" s="15" t="s">
        <v>269</v>
      </c>
      <c r="E5" s="15" t="s">
        <v>270</v>
      </c>
      <c r="F5" s="15" t="s">
        <v>271</v>
      </c>
      <c r="G5" s="15" t="s">
        <v>272</v>
      </c>
      <c r="H5" s="15" t="s">
        <v>170</v>
      </c>
      <c r="I5" s="15"/>
      <c r="J5" s="15" t="s">
        <v>273</v>
      </c>
    </row>
    <row r="6" spans="1:10" x14ac:dyDescent="0.3">
      <c r="A6" s="8" t="s">
        <v>274</v>
      </c>
      <c r="B6" s="9" t="s">
        <v>138</v>
      </c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275</v>
      </c>
      <c r="B7" s="9" t="s">
        <v>139</v>
      </c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276</v>
      </c>
      <c r="B8" s="9" t="s">
        <v>140</v>
      </c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277</v>
      </c>
      <c r="B9" s="9" t="s">
        <v>141</v>
      </c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278</v>
      </c>
      <c r="B10" s="9" t="s">
        <v>142</v>
      </c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279</v>
      </c>
      <c r="B11" s="9" t="s">
        <v>143</v>
      </c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280</v>
      </c>
      <c r="B12" s="9" t="s">
        <v>144</v>
      </c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281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282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283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284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285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286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287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288</v>
      </c>
      <c r="B20" s="9"/>
      <c r="C20" s="9"/>
      <c r="D20" s="9"/>
      <c r="E20" s="9"/>
      <c r="F20" s="9"/>
      <c r="G20" s="9"/>
      <c r="H20" s="9"/>
      <c r="I20" s="9"/>
      <c r="J2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2" t="s">
        <v>289</v>
      </c>
    </row>
    <row r="2" spans="1:10" x14ac:dyDescent="0.3">
      <c r="A2" s="3" t="s">
        <v>290</v>
      </c>
    </row>
    <row r="4" spans="1:10" ht="31.5" customHeight="1" x14ac:dyDescent="0.3">
      <c r="A4" s="11" t="s">
        <v>64</v>
      </c>
      <c r="B4" s="11" t="s">
        <v>291</v>
      </c>
      <c r="C4" s="11" t="s">
        <v>292</v>
      </c>
      <c r="D4" s="11" t="s">
        <v>293</v>
      </c>
      <c r="E4" s="11" t="s">
        <v>294</v>
      </c>
      <c r="F4" s="11" t="s">
        <v>295</v>
      </c>
      <c r="G4" s="11" t="s">
        <v>156</v>
      </c>
      <c r="H4" s="11" t="s">
        <v>157</v>
      </c>
      <c r="I4" s="11" t="s">
        <v>88</v>
      </c>
      <c r="J4" s="11" t="s">
        <v>158</v>
      </c>
    </row>
    <row r="5" spans="1:10" ht="26.4" x14ac:dyDescent="0.3">
      <c r="A5" s="15" t="s">
        <v>296</v>
      </c>
      <c r="B5" s="15" t="s">
        <v>297</v>
      </c>
      <c r="C5" s="15" t="s">
        <v>298</v>
      </c>
      <c r="D5" s="15" t="s">
        <v>299</v>
      </c>
      <c r="E5" s="15" t="s">
        <v>300</v>
      </c>
      <c r="F5" s="15" t="s">
        <v>301</v>
      </c>
      <c r="G5" s="15" t="s">
        <v>302</v>
      </c>
      <c r="H5" s="15" t="s">
        <v>170</v>
      </c>
      <c r="I5" s="15" t="s">
        <v>94</v>
      </c>
      <c r="J5" s="15"/>
    </row>
    <row r="6" spans="1:10" x14ac:dyDescent="0.3">
      <c r="A6" s="8" t="s">
        <v>303</v>
      </c>
      <c r="B6" s="9"/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304</v>
      </c>
      <c r="B7" s="9"/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305</v>
      </c>
      <c r="B8" s="9"/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306</v>
      </c>
      <c r="B9" s="9"/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307</v>
      </c>
      <c r="B10" s="9"/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308</v>
      </c>
      <c r="B11" s="9"/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309</v>
      </c>
      <c r="B12" s="9"/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310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311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312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313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314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315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316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317</v>
      </c>
      <c r="B20" s="9"/>
      <c r="C20" s="9"/>
      <c r="D20" s="9"/>
      <c r="E20" s="9"/>
      <c r="F20" s="9"/>
      <c r="G20" s="9"/>
      <c r="H20" s="9"/>
      <c r="I20" s="9"/>
      <c r="J20" s="9"/>
    </row>
    <row r="21" spans="1:10" x14ac:dyDescent="0.3">
      <c r="A21" s="8" t="s">
        <v>318</v>
      </c>
      <c r="B21" s="9"/>
      <c r="C21" s="9"/>
      <c r="D21" s="9"/>
      <c r="E21" s="9"/>
      <c r="F21" s="9"/>
      <c r="G21" s="9"/>
      <c r="H21" s="9"/>
      <c r="I21" s="9"/>
      <c r="J21" s="9"/>
    </row>
    <row r="22" spans="1:10" x14ac:dyDescent="0.3">
      <c r="A22" s="8" t="s">
        <v>319</v>
      </c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3">
      <c r="A23" s="8" t="s">
        <v>320</v>
      </c>
      <c r="B23" s="9"/>
      <c r="C23" s="9"/>
      <c r="D23" s="9"/>
      <c r="E23" s="9"/>
      <c r="F23" s="9"/>
      <c r="G23" s="9"/>
      <c r="H23" s="9"/>
      <c r="I23" s="9"/>
      <c r="J23" s="9"/>
    </row>
    <row r="24" spans="1:10" x14ac:dyDescent="0.3">
      <c r="A24" s="8" t="s">
        <v>321</v>
      </c>
      <c r="B24" s="9"/>
      <c r="C24" s="9"/>
      <c r="D24" s="9"/>
      <c r="E24" s="9"/>
      <c r="F24" s="9"/>
      <c r="G24" s="9"/>
      <c r="H24" s="9"/>
      <c r="I24" s="9"/>
      <c r="J24" s="9"/>
    </row>
    <row r="25" spans="1:10" x14ac:dyDescent="0.3">
      <c r="A25" s="8" t="s">
        <v>322</v>
      </c>
      <c r="B25" s="9"/>
      <c r="C25" s="9"/>
      <c r="D25" s="9"/>
      <c r="E25" s="9"/>
      <c r="F25" s="9"/>
      <c r="G25" s="9"/>
      <c r="H25" s="9"/>
      <c r="I25" s="9"/>
      <c r="J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2" t="s">
        <v>323</v>
      </c>
    </row>
    <row r="2" spans="1:9" x14ac:dyDescent="0.3">
      <c r="A2" s="3" t="s">
        <v>324</v>
      </c>
    </row>
    <row r="4" spans="1:9" ht="31.5" customHeight="1" x14ac:dyDescent="0.3">
      <c r="A4" s="11" t="s">
        <v>64</v>
      </c>
      <c r="B4" s="11" t="s">
        <v>325</v>
      </c>
      <c r="C4" s="11" t="s">
        <v>326</v>
      </c>
      <c r="D4" s="11" t="s">
        <v>88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158</v>
      </c>
    </row>
    <row r="5" spans="1:9" x14ac:dyDescent="0.3">
      <c r="A5" s="15" t="s">
        <v>331</v>
      </c>
      <c r="B5" s="15" t="s">
        <v>332</v>
      </c>
      <c r="C5" s="15" t="s">
        <v>333</v>
      </c>
      <c r="D5" s="15" t="s">
        <v>94</v>
      </c>
      <c r="E5" s="15" t="s">
        <v>334</v>
      </c>
      <c r="F5" s="15" t="s">
        <v>335</v>
      </c>
      <c r="G5" s="15" t="s">
        <v>335</v>
      </c>
      <c r="H5" s="15" t="s">
        <v>170</v>
      </c>
      <c r="I5" s="15"/>
    </row>
    <row r="6" spans="1:9" x14ac:dyDescent="0.3">
      <c r="A6" s="8" t="s">
        <v>336</v>
      </c>
      <c r="B6" s="9"/>
      <c r="C6" s="9"/>
      <c r="D6" s="9"/>
      <c r="E6" s="9"/>
      <c r="F6" s="9"/>
      <c r="G6" s="9"/>
      <c r="H6" s="9"/>
      <c r="I6" s="9"/>
    </row>
    <row r="7" spans="1:9" x14ac:dyDescent="0.3">
      <c r="A7" s="8" t="s">
        <v>337</v>
      </c>
      <c r="B7" s="9"/>
      <c r="C7" s="9"/>
      <c r="D7" s="9"/>
      <c r="E7" s="9"/>
      <c r="F7" s="9"/>
      <c r="G7" s="9"/>
      <c r="H7" s="9"/>
      <c r="I7" s="9"/>
    </row>
    <row r="8" spans="1:9" x14ac:dyDescent="0.3">
      <c r="A8" s="8" t="s">
        <v>338</v>
      </c>
      <c r="B8" s="9"/>
      <c r="C8" s="9"/>
      <c r="D8" s="9"/>
      <c r="E8" s="9"/>
      <c r="F8" s="9"/>
      <c r="G8" s="9"/>
      <c r="H8" s="9"/>
      <c r="I8" s="9"/>
    </row>
    <row r="9" spans="1:9" x14ac:dyDescent="0.3">
      <c r="A9" s="8" t="s">
        <v>339</v>
      </c>
      <c r="B9" s="9"/>
      <c r="C9" s="9"/>
      <c r="D9" s="9"/>
      <c r="E9" s="9"/>
      <c r="F9" s="9"/>
      <c r="G9" s="9"/>
      <c r="H9" s="9"/>
      <c r="I9" s="9"/>
    </row>
    <row r="10" spans="1:9" x14ac:dyDescent="0.3">
      <c r="A10" s="8" t="s">
        <v>340</v>
      </c>
      <c r="B10" s="9"/>
      <c r="C10" s="9"/>
      <c r="D10" s="9"/>
      <c r="E10" s="9"/>
      <c r="F10" s="9"/>
      <c r="G10" s="9"/>
      <c r="H10" s="9"/>
      <c r="I10" s="9"/>
    </row>
    <row r="11" spans="1:9" x14ac:dyDescent="0.3">
      <c r="A11" s="8" t="s">
        <v>341</v>
      </c>
      <c r="B11" s="9"/>
      <c r="C11" s="9"/>
      <c r="D11" s="9"/>
      <c r="E11" s="9"/>
      <c r="F11" s="9"/>
      <c r="G11" s="9"/>
      <c r="H11" s="9"/>
      <c r="I11" s="9"/>
    </row>
    <row r="12" spans="1:9" x14ac:dyDescent="0.3">
      <c r="A12" s="8" t="s">
        <v>342</v>
      </c>
      <c r="B12" s="9"/>
      <c r="C12" s="9"/>
      <c r="D12" s="9"/>
      <c r="E12" s="9"/>
      <c r="F12" s="9"/>
      <c r="G12" s="9"/>
      <c r="H12" s="9"/>
      <c r="I12" s="9"/>
    </row>
    <row r="13" spans="1:9" x14ac:dyDescent="0.3">
      <c r="A13" s="8" t="s">
        <v>343</v>
      </c>
      <c r="B13" s="9"/>
      <c r="C13" s="9"/>
      <c r="D13" s="9"/>
      <c r="E13" s="9"/>
      <c r="F13" s="9"/>
      <c r="G13" s="9"/>
      <c r="H13" s="9"/>
      <c r="I13" s="9"/>
    </row>
    <row r="14" spans="1:9" x14ac:dyDescent="0.3">
      <c r="A14" s="8" t="s">
        <v>344</v>
      </c>
      <c r="B14" s="9"/>
      <c r="C14" s="9"/>
      <c r="D14" s="9"/>
      <c r="E14" s="9"/>
      <c r="F14" s="9"/>
      <c r="G14" s="9"/>
      <c r="H14" s="9"/>
      <c r="I14" s="9"/>
    </row>
    <row r="15" spans="1:9" x14ac:dyDescent="0.3">
      <c r="A15" s="8" t="s">
        <v>345</v>
      </c>
      <c r="B15" s="9"/>
      <c r="C15" s="9"/>
      <c r="D15" s="9"/>
      <c r="E15" s="9"/>
      <c r="F15" s="9"/>
      <c r="G15" s="9"/>
      <c r="H15" s="9"/>
      <c r="I15" s="9"/>
    </row>
    <row r="16" spans="1:9" x14ac:dyDescent="0.3">
      <c r="A16" s="8" t="s">
        <v>346</v>
      </c>
      <c r="B16" s="9"/>
      <c r="C16" s="9"/>
      <c r="D16" s="9"/>
      <c r="E16" s="9"/>
      <c r="F16" s="9"/>
      <c r="G16" s="9"/>
      <c r="H16" s="9"/>
      <c r="I16" s="9"/>
    </row>
    <row r="17" spans="1:9" x14ac:dyDescent="0.3">
      <c r="A17" s="8" t="s">
        <v>347</v>
      </c>
      <c r="B17" s="9"/>
      <c r="C17" s="9"/>
      <c r="D17" s="9"/>
      <c r="E17" s="9"/>
      <c r="F17" s="9"/>
      <c r="G17" s="9"/>
      <c r="H17" s="9"/>
      <c r="I17" s="9"/>
    </row>
    <row r="18" spans="1:9" x14ac:dyDescent="0.3">
      <c r="A18" s="8" t="s">
        <v>348</v>
      </c>
      <c r="B18" s="9"/>
      <c r="C18" s="9"/>
      <c r="D18" s="9"/>
      <c r="E18" s="9"/>
      <c r="F18" s="9"/>
      <c r="G18" s="9"/>
      <c r="H18" s="9"/>
      <c r="I18" s="9"/>
    </row>
    <row r="19" spans="1:9" x14ac:dyDescent="0.3">
      <c r="A19" s="8" t="s">
        <v>349</v>
      </c>
      <c r="B19" s="9"/>
      <c r="C19" s="9"/>
      <c r="D19" s="9"/>
      <c r="E19" s="9"/>
      <c r="F19" s="9"/>
      <c r="G19" s="9"/>
      <c r="H19" s="9"/>
      <c r="I19" s="9"/>
    </row>
    <row r="20" spans="1:9" x14ac:dyDescent="0.3">
      <c r="A20" s="8" t="s">
        <v>350</v>
      </c>
      <c r="B20" s="9"/>
      <c r="C20" s="9"/>
      <c r="D20" s="9"/>
      <c r="E20" s="9"/>
      <c r="F20" s="9"/>
      <c r="G20" s="9"/>
      <c r="H20" s="9"/>
      <c r="I20" s="9"/>
    </row>
    <row r="21" spans="1:9" x14ac:dyDescent="0.3">
      <c r="A21" s="8" t="s">
        <v>351</v>
      </c>
      <c r="B21" s="9"/>
      <c r="C21" s="9"/>
      <c r="D21" s="9"/>
      <c r="E21" s="9"/>
      <c r="F21" s="9"/>
      <c r="G21" s="9"/>
      <c r="H21" s="9"/>
      <c r="I21" s="9"/>
    </row>
    <row r="22" spans="1:9" x14ac:dyDescent="0.3">
      <c r="A22" s="8" t="s">
        <v>352</v>
      </c>
      <c r="B22" s="9"/>
      <c r="C22" s="9"/>
      <c r="D22" s="9"/>
      <c r="E22" s="9"/>
      <c r="F22" s="9"/>
      <c r="G22" s="9"/>
      <c r="H22" s="9"/>
      <c r="I22" s="9"/>
    </row>
    <row r="23" spans="1:9" x14ac:dyDescent="0.3">
      <c r="A23" s="8" t="s">
        <v>353</v>
      </c>
      <c r="B23" s="9"/>
      <c r="C23" s="9"/>
      <c r="D23" s="9"/>
      <c r="E23" s="9"/>
      <c r="F23" s="9"/>
      <c r="G23" s="9"/>
      <c r="H23" s="9"/>
      <c r="I23" s="9"/>
    </row>
    <row r="24" spans="1:9" x14ac:dyDescent="0.3">
      <c r="A24" s="8" t="s">
        <v>354</v>
      </c>
      <c r="B24" s="9"/>
      <c r="C24" s="9"/>
      <c r="D24" s="9"/>
      <c r="E24" s="9"/>
      <c r="F24" s="9"/>
      <c r="G24" s="9"/>
      <c r="H24" s="9"/>
      <c r="I24" s="9"/>
    </row>
    <row r="25" spans="1:9" x14ac:dyDescent="0.3">
      <c r="A25" s="8" t="s">
        <v>355</v>
      </c>
      <c r="B25" s="9"/>
      <c r="C25" s="9"/>
      <c r="D25" s="9"/>
      <c r="E25" s="9"/>
      <c r="F25" s="9"/>
      <c r="G25" s="9"/>
      <c r="H25" s="9"/>
      <c r="I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2" t="s">
        <v>356</v>
      </c>
    </row>
    <row r="2" spans="1:12" x14ac:dyDescent="0.3">
      <c r="A2" s="3" t="s">
        <v>357</v>
      </c>
    </row>
    <row r="4" spans="1:12" ht="31.5" customHeight="1" x14ac:dyDescent="0.3">
      <c r="A4" s="11" t="s">
        <v>64</v>
      </c>
      <c r="B4" s="11" t="s">
        <v>358</v>
      </c>
      <c r="C4" s="11" t="s">
        <v>359</v>
      </c>
      <c r="D4" s="11" t="s">
        <v>291</v>
      </c>
      <c r="E4" s="11" t="s">
        <v>360</v>
      </c>
      <c r="F4" s="11" t="s">
        <v>361</v>
      </c>
      <c r="G4" s="11" t="s">
        <v>362</v>
      </c>
      <c r="H4" s="11" t="s">
        <v>363</v>
      </c>
      <c r="I4" s="11" t="s">
        <v>364</v>
      </c>
      <c r="J4" s="11" t="s">
        <v>365</v>
      </c>
      <c r="K4" s="11" t="s">
        <v>366</v>
      </c>
      <c r="L4" s="11" t="s">
        <v>367</v>
      </c>
    </row>
    <row r="5" spans="1:12" ht="60" customHeight="1" x14ac:dyDescent="0.3">
      <c r="A5" s="8" t="s">
        <v>368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ht="60" customHeight="1" x14ac:dyDescent="0.3">
      <c r="A6" s="8" t="s">
        <v>369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ht="60" customHeight="1" x14ac:dyDescent="0.3">
      <c r="A7" s="8" t="s">
        <v>370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2" t="s">
        <v>371</v>
      </c>
    </row>
    <row r="2" spans="1:2" x14ac:dyDescent="0.3">
      <c r="A2" s="3" t="s">
        <v>372</v>
      </c>
    </row>
    <row r="4" spans="1:2" x14ac:dyDescent="0.3">
      <c r="A4" s="16" t="s">
        <v>373</v>
      </c>
      <c r="B4" s="17"/>
    </row>
    <row r="5" spans="1:2" x14ac:dyDescent="0.3">
      <c r="A5" s="18" t="s">
        <v>374</v>
      </c>
      <c r="B5" s="19">
        <f>COUNTA('5_Casos_de_Teste'!G6:G45)</f>
        <v>0</v>
      </c>
    </row>
    <row r="6" spans="1:2" x14ac:dyDescent="0.3">
      <c r="A6" s="18" t="s">
        <v>375</v>
      </c>
      <c r="B6" s="19">
        <f>COUNTIF('5_Casos_de_Teste'!M6:M45,"Passou")</f>
        <v>0</v>
      </c>
    </row>
    <row r="7" spans="1:2" x14ac:dyDescent="0.3">
      <c r="A7" s="18" t="s">
        <v>376</v>
      </c>
      <c r="B7" s="19">
        <f>COUNTIF('5_Casos_de_Teste'!M6:M45,"Falhou")</f>
        <v>0</v>
      </c>
    </row>
    <row r="8" spans="1:2" x14ac:dyDescent="0.3">
      <c r="A8" s="18" t="s">
        <v>377</v>
      </c>
      <c r="B8" s="19">
        <f>COUNTIF('5_Casos_de_Teste'!M6:M45,"Bloqueado")</f>
        <v>0</v>
      </c>
    </row>
    <row r="9" spans="1:2" x14ac:dyDescent="0.3">
      <c r="A9" s="18" t="s">
        <v>378</v>
      </c>
      <c r="B9" s="19">
        <f>COUNTIF('5_Casos_de_Teste'!M6:M45,"Não executado")</f>
        <v>0</v>
      </c>
    </row>
    <row r="10" spans="1:2" x14ac:dyDescent="0.3">
      <c r="A10" s="18" t="s">
        <v>379</v>
      </c>
      <c r="B10" s="20">
        <f>IFERROR(B6/(B6+B7+B8),0)</f>
        <v>0</v>
      </c>
    </row>
    <row r="11" spans="1:2" x14ac:dyDescent="0.3">
      <c r="A11" s="18" t="s">
        <v>380</v>
      </c>
      <c r="B11" s="19">
        <f>COUNTIF('5_Casos_de_Teste'!D6:D45,"Valor limite")</f>
        <v>0</v>
      </c>
    </row>
    <row r="12" spans="1:2" x14ac:dyDescent="0.3">
      <c r="A12" s="18" t="s">
        <v>381</v>
      </c>
      <c r="B12" s="19">
        <f>COUNTA('6_Bugs'!B6:B35)</f>
        <v>0</v>
      </c>
    </row>
    <row r="13" spans="1:2" x14ac:dyDescent="0.3">
      <c r="A13" s="18" t="s">
        <v>382</v>
      </c>
      <c r="B13" s="19">
        <f>COUNTIF('6_Bugs'!G6:G35,"Crítica")</f>
        <v>0</v>
      </c>
    </row>
    <row r="14" spans="1:2" x14ac:dyDescent="0.3">
      <c r="A14" s="18" t="s">
        <v>383</v>
      </c>
      <c r="B14" s="19">
        <f>COUNTIF('6_Bugs'!G6:G35,"Alta")</f>
        <v>0</v>
      </c>
    </row>
    <row r="15" spans="1:2" x14ac:dyDescent="0.3">
      <c r="A15" s="18" t="s">
        <v>384</v>
      </c>
      <c r="B15" s="19">
        <f>COUNTIF('6_Bugs'!G6:G35,"Média")</f>
        <v>0</v>
      </c>
    </row>
    <row r="16" spans="1:2" x14ac:dyDescent="0.3">
      <c r="A16" s="18" t="s">
        <v>385</v>
      </c>
      <c r="B16" s="19">
        <f>COUNTIF('6_Bugs'!G6:G35,"Baixa")</f>
        <v>0</v>
      </c>
    </row>
    <row r="17" spans="1:4" x14ac:dyDescent="0.3">
      <c r="A17" s="18" t="s">
        <v>386</v>
      </c>
      <c r="B17" s="19">
        <f>COUNTIF('6_Bugs'!N6:N35,"Corrigido*")</f>
        <v>0</v>
      </c>
    </row>
    <row r="18" spans="1:4" x14ac:dyDescent="0.3">
      <c r="A18" s="18" t="s">
        <v>387</v>
      </c>
      <c r="B18" s="19">
        <f>COUNTA('7_Nao_Funcionais'!H6:H20)</f>
        <v>0</v>
      </c>
    </row>
    <row r="19" spans="1:4" x14ac:dyDescent="0.3">
      <c r="A19" s="18" t="s">
        <v>388</v>
      </c>
      <c r="B19" s="19">
        <f>COUNTIF('7_Nao_Funcionais'!H6:H20,"Falhou")</f>
        <v>0</v>
      </c>
    </row>
    <row r="20" spans="1:4" x14ac:dyDescent="0.3">
      <c r="A20" s="18" t="s">
        <v>389</v>
      </c>
      <c r="B20" s="19">
        <f>COUNTA('8_Caixa_Branca'!C6:C25)</f>
        <v>0</v>
      </c>
    </row>
    <row r="21" spans="1:4" x14ac:dyDescent="0.3">
      <c r="A21" s="18" t="s">
        <v>390</v>
      </c>
      <c r="B21" s="19">
        <f>COUNTA('9_Automacao'!E6:E25)</f>
        <v>0</v>
      </c>
    </row>
    <row r="22" spans="1:4" x14ac:dyDescent="0.3">
      <c r="A22" s="18" t="s">
        <v>391</v>
      </c>
      <c r="B22" s="19">
        <f>COUNTIF('9_Automacao'!H6:H25,"Passou")</f>
        <v>0</v>
      </c>
    </row>
    <row r="23" spans="1:4" x14ac:dyDescent="0.3">
      <c r="A23" s="18" t="s">
        <v>392</v>
      </c>
      <c r="B23" s="19">
        <f>COUNTIF('9_Automacao'!H6:H25,"Falhou")</f>
        <v>0</v>
      </c>
    </row>
    <row r="25" spans="1:4" x14ac:dyDescent="0.3">
      <c r="A25" s="16" t="s">
        <v>393</v>
      </c>
      <c r="B25" s="17"/>
      <c r="C25" s="17"/>
    </row>
    <row r="26" spans="1:4" ht="48" customHeight="1" x14ac:dyDescent="0.3">
      <c r="A26" s="8" t="s">
        <v>394</v>
      </c>
      <c r="B26" s="1"/>
      <c r="C26" s="1"/>
      <c r="D26" s="10" t="s">
        <v>395</v>
      </c>
    </row>
    <row r="27" spans="1:4" ht="48" customHeight="1" x14ac:dyDescent="0.3">
      <c r="A27" s="8" t="s">
        <v>396</v>
      </c>
      <c r="B27" s="1"/>
      <c r="C27" s="1"/>
    </row>
    <row r="28" spans="1:4" ht="48" customHeight="1" x14ac:dyDescent="0.3">
      <c r="A28" s="8" t="s">
        <v>397</v>
      </c>
      <c r="B28" s="1"/>
      <c r="C28" s="1"/>
    </row>
    <row r="29" spans="1:4" ht="48" customHeight="1" x14ac:dyDescent="0.3">
      <c r="A29" s="8" t="s">
        <v>398</v>
      </c>
      <c r="B29" s="1"/>
      <c r="C29" s="1"/>
    </row>
    <row r="30" spans="1:4" ht="18" customHeight="1" x14ac:dyDescent="0.3">
      <c r="A30" s="8" t="s">
        <v>399</v>
      </c>
      <c r="B30" s="1"/>
      <c r="C30" s="1"/>
      <c r="D30" s="10" t="s">
        <v>400</v>
      </c>
    </row>
    <row r="31" spans="1:4" ht="48" customHeight="1" x14ac:dyDescent="0.3">
      <c r="A31" s="8" t="s">
        <v>401</v>
      </c>
      <c r="B31" s="1"/>
      <c r="C31" s="1"/>
      <c r="D31" s="10" t="s">
        <v>402</v>
      </c>
    </row>
    <row r="32" spans="1:4" ht="48" customHeight="1" x14ac:dyDescent="0.3">
      <c r="A32" s="8" t="s">
        <v>403</v>
      </c>
      <c r="B32" s="1"/>
      <c r="C32" s="1"/>
    </row>
    <row r="33" spans="1:3" ht="48" customHeight="1" x14ac:dyDescent="0.3">
      <c r="A33" s="8" t="s">
        <v>404</v>
      </c>
      <c r="B33" s="1"/>
      <c r="C33" s="1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20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2" t="s">
        <v>405</v>
      </c>
    </row>
    <row r="2" spans="1:7" x14ac:dyDescent="0.3">
      <c r="A2" s="3" t="s">
        <v>406</v>
      </c>
    </row>
    <row r="4" spans="1:7" ht="31.5" customHeight="1" x14ac:dyDescent="0.3">
      <c r="A4" s="11" t="s">
        <v>64</v>
      </c>
      <c r="B4" s="11" t="s">
        <v>219</v>
      </c>
      <c r="C4" s="11" t="s">
        <v>407</v>
      </c>
      <c r="D4" s="11" t="s">
        <v>408</v>
      </c>
      <c r="E4" s="11" t="s">
        <v>409</v>
      </c>
      <c r="F4" s="11" t="s">
        <v>410</v>
      </c>
      <c r="G4" s="11" t="s">
        <v>411</v>
      </c>
    </row>
    <row r="5" spans="1:7" x14ac:dyDescent="0.3">
      <c r="A5" s="8" t="s">
        <v>412</v>
      </c>
      <c r="B5" s="9"/>
      <c r="C5" s="9"/>
      <c r="D5" s="9"/>
      <c r="E5" s="9"/>
      <c r="F5" s="9"/>
      <c r="G5" s="9"/>
    </row>
    <row r="6" spans="1:7" x14ac:dyDescent="0.3">
      <c r="A6" s="8" t="s">
        <v>413</v>
      </c>
      <c r="B6" s="9"/>
      <c r="C6" s="9"/>
      <c r="D6" s="9"/>
      <c r="E6" s="9"/>
      <c r="F6" s="9"/>
      <c r="G6" s="9"/>
    </row>
    <row r="7" spans="1:7" x14ac:dyDescent="0.3">
      <c r="A7" s="8" t="s">
        <v>414</v>
      </c>
      <c r="B7" s="9"/>
      <c r="C7" s="9"/>
      <c r="D7" s="9"/>
      <c r="E7" s="9"/>
      <c r="F7" s="9"/>
      <c r="G7" s="9"/>
    </row>
    <row r="8" spans="1:7" x14ac:dyDescent="0.3">
      <c r="A8" s="8" t="s">
        <v>415</v>
      </c>
      <c r="B8" s="9"/>
      <c r="C8" s="9"/>
      <c r="D8" s="9"/>
      <c r="E8" s="9"/>
      <c r="F8" s="9"/>
      <c r="G8" s="9"/>
    </row>
    <row r="9" spans="1:7" x14ac:dyDescent="0.3">
      <c r="A9" s="8" t="s">
        <v>416</v>
      </c>
      <c r="B9" s="9"/>
      <c r="C9" s="9"/>
      <c r="D9" s="9"/>
      <c r="E9" s="9"/>
      <c r="F9" s="9"/>
      <c r="G9" s="9"/>
    </row>
    <row r="10" spans="1:7" x14ac:dyDescent="0.3">
      <c r="A10" s="8" t="s">
        <v>417</v>
      </c>
      <c r="B10" s="9"/>
      <c r="C10" s="9"/>
      <c r="D10" s="9"/>
      <c r="E10" s="9"/>
      <c r="F10" s="9"/>
      <c r="G10" s="9"/>
    </row>
    <row r="11" spans="1:7" x14ac:dyDescent="0.3">
      <c r="A11" s="8" t="s">
        <v>418</v>
      </c>
      <c r="B11" s="9"/>
      <c r="C11" s="9"/>
      <c r="D11" s="9"/>
      <c r="E11" s="9"/>
      <c r="F11" s="9"/>
      <c r="G11" s="9"/>
    </row>
    <row r="12" spans="1:7" x14ac:dyDescent="0.3">
      <c r="A12" s="8" t="s">
        <v>419</v>
      </c>
      <c r="B12" s="9"/>
      <c r="C12" s="9"/>
      <c r="D12" s="9"/>
      <c r="E12" s="9"/>
      <c r="F12" s="9"/>
      <c r="G12" s="9"/>
    </row>
    <row r="13" spans="1:7" x14ac:dyDescent="0.3">
      <c r="A13" s="8" t="s">
        <v>420</v>
      </c>
      <c r="B13" s="9"/>
      <c r="C13" s="9"/>
      <c r="D13" s="9"/>
      <c r="E13" s="9"/>
      <c r="F13" s="9"/>
      <c r="G13" s="9"/>
    </row>
    <row r="14" spans="1:7" x14ac:dyDescent="0.3">
      <c r="A14" s="8" t="s">
        <v>421</v>
      </c>
      <c r="B14" s="9"/>
      <c r="C14" s="9"/>
      <c r="D14" s="9"/>
      <c r="E14" s="9"/>
      <c r="F14" s="9"/>
      <c r="G14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6" t="s">
        <v>88</v>
      </c>
      <c r="B1" s="6" t="s">
        <v>422</v>
      </c>
      <c r="C1" s="6" t="s">
        <v>423</v>
      </c>
      <c r="D1" s="6" t="s">
        <v>424</v>
      </c>
      <c r="E1" s="6" t="s">
        <v>157</v>
      </c>
      <c r="F1" s="6" t="s">
        <v>38</v>
      </c>
      <c r="G1" s="6" t="s">
        <v>215</v>
      </c>
      <c r="H1" s="6" t="s">
        <v>425</v>
      </c>
      <c r="I1" s="6" t="s">
        <v>426</v>
      </c>
      <c r="J1" s="6" t="s">
        <v>427</v>
      </c>
      <c r="K1" s="6" t="s">
        <v>84</v>
      </c>
      <c r="L1" s="6" t="s">
        <v>428</v>
      </c>
      <c r="M1" s="6" t="s">
        <v>429</v>
      </c>
      <c r="N1" s="6" t="s">
        <v>430</v>
      </c>
      <c r="O1" s="6" t="s">
        <v>431</v>
      </c>
      <c r="P1" s="6" t="s">
        <v>432</v>
      </c>
    </row>
    <row r="2" spans="1:16" x14ac:dyDescent="0.3">
      <c r="A2" s="7" t="s">
        <v>433</v>
      </c>
      <c r="B2" s="7" t="s">
        <v>162</v>
      </c>
      <c r="C2" s="7" t="s">
        <v>134</v>
      </c>
      <c r="D2" s="7" t="s">
        <v>434</v>
      </c>
      <c r="E2" s="7" t="s">
        <v>170</v>
      </c>
      <c r="F2" s="7" t="s">
        <v>39</v>
      </c>
      <c r="G2" s="7" t="s">
        <v>41</v>
      </c>
      <c r="H2" s="7" t="s">
        <v>229</v>
      </c>
      <c r="I2" s="7" t="s">
        <v>435</v>
      </c>
      <c r="J2" s="7" t="s">
        <v>436</v>
      </c>
      <c r="K2" s="7" t="s">
        <v>437</v>
      </c>
      <c r="L2" s="7" t="s">
        <v>438</v>
      </c>
      <c r="M2" s="7" t="s">
        <v>439</v>
      </c>
      <c r="N2" s="7" t="s">
        <v>440</v>
      </c>
      <c r="O2" s="7" t="s">
        <v>441</v>
      </c>
      <c r="P2" s="7" t="s">
        <v>442</v>
      </c>
    </row>
    <row r="3" spans="1:16" x14ac:dyDescent="0.3">
      <c r="A3" s="7" t="s">
        <v>443</v>
      </c>
      <c r="B3" s="7" t="s">
        <v>444</v>
      </c>
      <c r="C3" s="7" t="s">
        <v>145</v>
      </c>
      <c r="D3" s="7" t="s">
        <v>445</v>
      </c>
      <c r="E3" s="7" t="s">
        <v>446</v>
      </c>
      <c r="F3" s="7" t="s">
        <v>41</v>
      </c>
      <c r="G3" s="7" t="s">
        <v>43</v>
      </c>
      <c r="H3" s="7" t="s">
        <v>447</v>
      </c>
      <c r="I3" s="7" t="s">
        <v>448</v>
      </c>
      <c r="J3" s="7" t="s">
        <v>446</v>
      </c>
      <c r="K3" s="7" t="s">
        <v>449</v>
      </c>
      <c r="L3" s="7" t="s">
        <v>450</v>
      </c>
      <c r="M3" s="7" t="s">
        <v>451</v>
      </c>
      <c r="N3" s="7" t="s">
        <v>452</v>
      </c>
      <c r="O3" s="7" t="s">
        <v>96</v>
      </c>
      <c r="P3" s="7" t="s">
        <v>453</v>
      </c>
    </row>
    <row r="4" spans="1:16" x14ac:dyDescent="0.3">
      <c r="A4" s="7" t="s">
        <v>454</v>
      </c>
      <c r="B4" s="7" t="s">
        <v>455</v>
      </c>
      <c r="C4" s="7" t="s">
        <v>135</v>
      </c>
      <c r="D4" s="7" t="s">
        <v>163</v>
      </c>
      <c r="E4" s="7" t="s">
        <v>456</v>
      </c>
      <c r="F4" s="7" t="s">
        <v>43</v>
      </c>
      <c r="G4" s="7" t="s">
        <v>45</v>
      </c>
      <c r="H4" s="7" t="s">
        <v>457</v>
      </c>
      <c r="L4" s="7" t="s">
        <v>458</v>
      </c>
      <c r="M4" s="7" t="s">
        <v>459</v>
      </c>
      <c r="N4" s="7" t="s">
        <v>230</v>
      </c>
      <c r="O4" s="7" t="s">
        <v>460</v>
      </c>
      <c r="P4" s="7" t="s">
        <v>461</v>
      </c>
    </row>
    <row r="5" spans="1:16" x14ac:dyDescent="0.3">
      <c r="A5" s="7" t="s">
        <v>462</v>
      </c>
      <c r="B5" s="7" t="s">
        <v>463</v>
      </c>
      <c r="C5" s="7" t="s">
        <v>136</v>
      </c>
      <c r="D5" s="7" t="s">
        <v>145</v>
      </c>
      <c r="E5" s="7" t="s">
        <v>464</v>
      </c>
      <c r="F5" s="7" t="s">
        <v>45</v>
      </c>
      <c r="H5" s="7" t="s">
        <v>465</v>
      </c>
      <c r="M5" s="7" t="s">
        <v>466</v>
      </c>
      <c r="N5" s="7" t="s">
        <v>467</v>
      </c>
      <c r="O5" s="7" t="s">
        <v>468</v>
      </c>
    </row>
    <row r="6" spans="1:16" x14ac:dyDescent="0.3">
      <c r="A6" s="7" t="s">
        <v>469</v>
      </c>
      <c r="B6" s="7" t="s">
        <v>137</v>
      </c>
      <c r="C6" s="7" t="s">
        <v>427</v>
      </c>
      <c r="M6" s="7" t="s">
        <v>470</v>
      </c>
      <c r="N6" s="7" t="s">
        <v>471</v>
      </c>
    </row>
    <row r="7" spans="1:16" x14ac:dyDescent="0.3">
      <c r="A7" s="7" t="s">
        <v>472</v>
      </c>
      <c r="B7" s="7" t="s">
        <v>473</v>
      </c>
      <c r="C7" s="7" t="s">
        <v>137</v>
      </c>
      <c r="M7" s="7" t="s">
        <v>474</v>
      </c>
      <c r="N7" s="7" t="s">
        <v>475</v>
      </c>
    </row>
    <row r="8" spans="1:16" x14ac:dyDescent="0.3">
      <c r="A8" s="7" t="s">
        <v>476</v>
      </c>
      <c r="B8" s="7" t="s">
        <v>477</v>
      </c>
      <c r="C8" s="7" t="s">
        <v>138</v>
      </c>
      <c r="M8" s="7" t="s">
        <v>478</v>
      </c>
      <c r="N8" s="7" t="s">
        <v>479</v>
      </c>
    </row>
    <row r="9" spans="1:16" x14ac:dyDescent="0.3">
      <c r="A9" s="7" t="s">
        <v>480</v>
      </c>
      <c r="B9" s="7" t="s">
        <v>481</v>
      </c>
      <c r="C9" s="7" t="s">
        <v>139</v>
      </c>
      <c r="M9" s="7" t="s">
        <v>297</v>
      </c>
    </row>
    <row r="10" spans="1:16" x14ac:dyDescent="0.3">
      <c r="A10" s="7" t="s">
        <v>482</v>
      </c>
      <c r="C10" s="7" t="s">
        <v>140</v>
      </c>
      <c r="M10" s="7" t="s">
        <v>483</v>
      </c>
    </row>
    <row r="11" spans="1:16" x14ac:dyDescent="0.3">
      <c r="A11" s="7" t="s">
        <v>222</v>
      </c>
      <c r="C11" s="7" t="s">
        <v>141</v>
      </c>
      <c r="M11" s="7" t="s">
        <v>332</v>
      </c>
    </row>
    <row r="12" spans="1:16" x14ac:dyDescent="0.3">
      <c r="A12" s="7" t="s">
        <v>484</v>
      </c>
      <c r="C12" s="7" t="s">
        <v>142</v>
      </c>
      <c r="M12" s="7" t="s">
        <v>485</v>
      </c>
    </row>
    <row r="13" spans="1:16" x14ac:dyDescent="0.3">
      <c r="A13" s="7" t="s">
        <v>486</v>
      </c>
      <c r="C13" s="7" t="s">
        <v>143</v>
      </c>
    </row>
    <row r="14" spans="1:16" x14ac:dyDescent="0.3">
      <c r="A14" s="7" t="s">
        <v>94</v>
      </c>
      <c r="C14" s="7" t="s">
        <v>144</v>
      </c>
    </row>
    <row r="15" spans="1:16" x14ac:dyDescent="0.3">
      <c r="A15" s="7" t="s">
        <v>487</v>
      </c>
      <c r="C15" s="7" t="s">
        <v>488</v>
      </c>
    </row>
    <row r="16" spans="1:16" x14ac:dyDescent="0.3">
      <c r="A16" s="7" t="s">
        <v>489</v>
      </c>
    </row>
    <row r="17" spans="1:1" x14ac:dyDescent="0.3">
      <c r="A17" s="7" t="s">
        <v>490</v>
      </c>
    </row>
    <row r="18" spans="1:1" x14ac:dyDescent="0.3">
      <c r="A18" s="7" t="s">
        <v>268</v>
      </c>
    </row>
    <row r="19" spans="1:1" x14ac:dyDescent="0.3">
      <c r="A19" s="7" t="s">
        <v>491</v>
      </c>
    </row>
    <row r="20" spans="1:1" x14ac:dyDescent="0.3">
      <c r="A20" s="7" t="s">
        <v>492</v>
      </c>
    </row>
    <row r="21" spans="1:1" x14ac:dyDescent="0.3">
      <c r="A21" s="7" t="s">
        <v>493</v>
      </c>
    </row>
    <row r="22" spans="1:1" x14ac:dyDescent="0.3">
      <c r="A22" s="7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8_Caixa_Branca</vt:lpstr>
      <vt:lpstr>9_Automacao</vt:lpstr>
      <vt:lpstr>10_Correcao</vt:lpstr>
      <vt:lpstr>11_Relatorio_Final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2026-10-28T22:59:20Z</dcterms:modified>
  <dc:language>en-US</dc:language>
</cp:coreProperties>
</file>